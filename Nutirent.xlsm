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4"/>
  <mc:AlternateContent xmlns:mc="http://schemas.openxmlformats.org/markup-compatibility/2006">
    <mc:Choice Requires="x15">
      <x15ac:absPath xmlns:x15ac="http://schemas.microsoft.com/office/spreadsheetml/2010/11/ac" url="/Users/tangsinglun/development/Nutrient/"/>
    </mc:Choice>
  </mc:AlternateContent>
  <xr:revisionPtr revIDLastSave="0" documentId="13_ncr:1_{E8E5CF51-9448-0D4F-8DF4-292321502CF9}" xr6:coauthVersionLast="47" xr6:coauthVersionMax="47" xr10:uidLastSave="{00000000-0000-0000-0000-000000000000}"/>
  <bookViews>
    <workbookView xWindow="0" yWindow="600" windowWidth="51200" windowHeight="26400" tabRatio="816" xr2:uid="{00000000-000D-0000-FFFF-FFFF00000000}"/>
  </bookViews>
  <sheets>
    <sheet name="Cover" sheetId="1" r:id="rId1"/>
    <sheet name="Ingredient Template" sheetId="2" r:id="rId2"/>
    <sheet name="Meal Record Template" sheetId="3" r:id="rId3"/>
    <sheet name="Nutrient Total Template Daily" sheetId="30" r:id="rId4"/>
    <sheet name="Nutrient Total Template Weekly" sheetId="36" r:id="rId5"/>
    <sheet name="Nutrient Total Template Monthly" sheetId="37" r:id="rId6"/>
    <sheet name="January Meal Record Demo" sheetId="8" r:id="rId7"/>
    <sheet name="Nutrient Total Daily Demo" sheetId="33" r:id="rId8"/>
    <sheet name="Nutrient Total Weekly Demo" sheetId="38" r:id="rId9"/>
    <sheet name="Nutrient Total Monthly Demo" sheetId="39" r:id="rId10"/>
    <sheet name="Assesment Report and Charts" sheetId="34" r:id="rId11"/>
    <sheet name="Breakfast Demo" sheetId="24" r:id="rId12"/>
    <sheet name="Morning Snack Demo" sheetId="25" r:id="rId13"/>
    <sheet name="Lunch Demo" sheetId="26" r:id="rId14"/>
    <sheet name="Afternoon Snack Demo" sheetId="27" r:id="rId15"/>
    <sheet name="Dinner Demo" sheetId="28" r:id="rId16"/>
    <sheet name="Night Snack demo" sheetId="29" r:id="rId17"/>
    <sheet name="January Meal Record" sheetId="21" r:id="rId18"/>
    <sheet name="February Meal Record" sheetId="9" r:id="rId19"/>
    <sheet name="March Meal Record" sheetId="10" r:id="rId20"/>
    <sheet name="April Meal Record" sheetId="11" r:id="rId21"/>
    <sheet name="May Meal Record" sheetId="12" r:id="rId22"/>
    <sheet name="June Meal Record" sheetId="13" r:id="rId23"/>
    <sheet name="July Meal Record" sheetId="14" r:id="rId24"/>
    <sheet name="August Meal Record" sheetId="15" r:id="rId25"/>
    <sheet name="September Meal Record" sheetId="16" r:id="rId26"/>
    <sheet name="October Meal Record" sheetId="17" r:id="rId27"/>
    <sheet name="November Meal Record" sheetId="18" r:id="rId28"/>
    <sheet name="December Meal Record" sheetId="19" r:id="rId29"/>
  </sheets>
  <functionGroups builtInGroupCount="19"/>
  <definedNames>
    <definedName name="_xleta.N" hidden="1" xlm="1">#NAME?</definedName>
    <definedName name="_xleta.T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35" i="29" l="1"/>
  <c r="A34" i="29"/>
  <c r="A33" i="29"/>
  <c r="A32" i="29"/>
  <c r="A31" i="29"/>
  <c r="A30" i="29"/>
  <c r="A29" i="29"/>
  <c r="A28" i="29"/>
  <c r="A27" i="29"/>
  <c r="A26" i="29"/>
  <c r="A16" i="29"/>
  <c r="A15" i="29"/>
  <c r="A14" i="29"/>
  <c r="A13" i="29"/>
  <c r="A12" i="29"/>
  <c r="A11" i="29"/>
  <c r="A10" i="29"/>
  <c r="A9" i="29"/>
  <c r="A8" i="29"/>
  <c r="A7" i="29"/>
  <c r="J35" i="29"/>
  <c r="J34" i="29"/>
  <c r="J33" i="29"/>
  <c r="J32" i="29"/>
  <c r="J31" i="29"/>
  <c r="J30" i="29"/>
  <c r="J29" i="29"/>
  <c r="J28" i="29"/>
  <c r="J27" i="29"/>
  <c r="J26" i="29"/>
  <c r="A35" i="28"/>
  <c r="A34" i="28"/>
  <c r="A33" i="28"/>
  <c r="A32" i="28"/>
  <c r="A31" i="28"/>
  <c r="A30" i="28"/>
  <c r="A29" i="28"/>
  <c r="A28" i="28"/>
  <c r="A27" i="28"/>
  <c r="A26" i="28"/>
  <c r="A16" i="28"/>
  <c r="A15" i="28"/>
  <c r="A14" i="28"/>
  <c r="A13" i="28"/>
  <c r="A12" i="28"/>
  <c r="A11" i="28"/>
  <c r="A10" i="28"/>
  <c r="A9" i="28"/>
  <c r="A8" i="28"/>
  <c r="A7" i="28"/>
  <c r="J35" i="28"/>
  <c r="J34" i="28"/>
  <c r="J33" i="28"/>
  <c r="J32" i="28"/>
  <c r="J31" i="28"/>
  <c r="J30" i="28"/>
  <c r="J29" i="28"/>
  <c r="J28" i="28"/>
  <c r="J27" i="28"/>
  <c r="J26" i="28"/>
  <c r="A35" i="27"/>
  <c r="A34" i="27"/>
  <c r="A33" i="27"/>
  <c r="A32" i="27"/>
  <c r="A31" i="27"/>
  <c r="A30" i="27"/>
  <c r="A29" i="27"/>
  <c r="A28" i="27"/>
  <c r="A27" i="27"/>
  <c r="A26" i="27"/>
  <c r="A16" i="27"/>
  <c r="A15" i="27"/>
  <c r="A14" i="27"/>
  <c r="A13" i="27"/>
  <c r="A12" i="27"/>
  <c r="A11" i="27"/>
  <c r="A10" i="27"/>
  <c r="A9" i="27"/>
  <c r="A8" i="27"/>
  <c r="A7" i="27"/>
  <c r="J35" i="27"/>
  <c r="J34" i="27"/>
  <c r="J33" i="27"/>
  <c r="J32" i="27"/>
  <c r="J31" i="27"/>
  <c r="J30" i="27"/>
  <c r="J29" i="27"/>
  <c r="J28" i="27"/>
  <c r="J27" i="27"/>
  <c r="J26" i="27"/>
  <c r="A35" i="26"/>
  <c r="A34" i="26"/>
  <c r="A33" i="26"/>
  <c r="A32" i="26"/>
  <c r="A31" i="26"/>
  <c r="A30" i="26"/>
  <c r="A29" i="26"/>
  <c r="A28" i="26"/>
  <c r="A27" i="26"/>
  <c r="A26" i="26"/>
  <c r="A16" i="26"/>
  <c r="A15" i="26"/>
  <c r="A14" i="26"/>
  <c r="A13" i="26"/>
  <c r="A12" i="26"/>
  <c r="A11" i="26"/>
  <c r="A10" i="26"/>
  <c r="A9" i="26"/>
  <c r="A8" i="26"/>
  <c r="A7" i="26"/>
  <c r="J35" i="26"/>
  <c r="J34" i="26"/>
  <c r="J33" i="26"/>
  <c r="J32" i="26"/>
  <c r="J31" i="26"/>
  <c r="J30" i="26"/>
  <c r="J29" i="26"/>
  <c r="J28" i="26"/>
  <c r="J27" i="26"/>
  <c r="J26" i="26"/>
  <c r="A35" i="25"/>
  <c r="A34" i="25"/>
  <c r="A33" i="25"/>
  <c r="A32" i="25"/>
  <c r="A31" i="25"/>
  <c r="A30" i="25"/>
  <c r="A29" i="25"/>
  <c r="A28" i="25"/>
  <c r="A27" i="25"/>
  <c r="A26" i="25"/>
  <c r="A16" i="25"/>
  <c r="A15" i="25"/>
  <c r="A14" i="25"/>
  <c r="A13" i="25"/>
  <c r="A12" i="25"/>
  <c r="A11" i="25"/>
  <c r="A10" i="25"/>
  <c r="A9" i="25"/>
  <c r="A8" i="25"/>
  <c r="A7" i="25"/>
  <c r="J35" i="25"/>
  <c r="J34" i="25"/>
  <c r="J33" i="25"/>
  <c r="J32" i="25"/>
  <c r="J31" i="25"/>
  <c r="J30" i="25"/>
  <c r="J29" i="25"/>
  <c r="J28" i="25"/>
  <c r="J27" i="25"/>
  <c r="J26" i="25"/>
  <c r="A35" i="24"/>
  <c r="A34" i="24"/>
  <c r="A33" i="24"/>
  <c r="A32" i="24"/>
  <c r="A31" i="24"/>
  <c r="A30" i="24"/>
  <c r="A29" i="24"/>
  <c r="A28" i="24"/>
  <c r="A27" i="24"/>
  <c r="A26" i="24"/>
  <c r="A16" i="24"/>
  <c r="A15" i="24"/>
  <c r="A14" i="24"/>
  <c r="A13" i="24"/>
  <c r="A12" i="24"/>
  <c r="A11" i="24"/>
  <c r="A10" i="24"/>
  <c r="A9" i="24"/>
  <c r="A8" i="24"/>
  <c r="A7" i="24"/>
  <c r="J35" i="24"/>
  <c r="J34" i="24"/>
  <c r="J33" i="24"/>
  <c r="J32" i="24"/>
  <c r="J31" i="24"/>
  <c r="J30" i="24"/>
  <c r="J29" i="24"/>
  <c r="J28" i="24"/>
  <c r="J27" i="24"/>
  <c r="J26" i="24"/>
  <c r="A35" i="2"/>
  <c r="A34" i="2"/>
  <c r="A33" i="2"/>
  <c r="A32" i="2"/>
  <c r="A31" i="2"/>
  <c r="A30" i="2"/>
  <c r="A29" i="2"/>
  <c r="A28" i="2"/>
  <c r="A27" i="2"/>
  <c r="A26" i="2"/>
  <c r="A16" i="2"/>
  <c r="A15" i="2"/>
  <c r="A14" i="2"/>
  <c r="A13" i="2"/>
  <c r="A12" i="2"/>
  <c r="A11" i="2"/>
  <c r="A10" i="2"/>
  <c r="A9" i="2"/>
  <c r="A8" i="2"/>
  <c r="A7" i="2"/>
  <c r="J35" i="2"/>
  <c r="J34" i="2"/>
  <c r="J33" i="2"/>
  <c r="J32" i="2"/>
  <c r="J31" i="2"/>
  <c r="J30" i="2"/>
  <c r="J29" i="2"/>
  <c r="J28" i="2"/>
  <c r="J27" i="2"/>
  <c r="J26" i="2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C35" i="29"/>
  <c r="B35" i="29"/>
  <c r="Z34" i="29"/>
  <c r="Y34" i="29"/>
  <c r="X34" i="29"/>
  <c r="W34" i="29"/>
  <c r="V34" i="29"/>
  <c r="U34" i="29"/>
  <c r="T34" i="29"/>
  <c r="S34" i="29"/>
  <c r="R34" i="29"/>
  <c r="Q34" i="29"/>
  <c r="P34" i="29"/>
  <c r="O34" i="29"/>
  <c r="N34" i="29"/>
  <c r="M34" i="29"/>
  <c r="L34" i="29"/>
  <c r="G34" i="29"/>
  <c r="F34" i="29"/>
  <c r="E34" i="29"/>
  <c r="Z33" i="29"/>
  <c r="Y33" i="29"/>
  <c r="X33" i="29"/>
  <c r="W33" i="29"/>
  <c r="V33" i="29"/>
  <c r="U33" i="29"/>
  <c r="T33" i="29"/>
  <c r="S33" i="29"/>
  <c r="R33" i="29"/>
  <c r="Q33" i="29"/>
  <c r="P33" i="29"/>
  <c r="O33" i="29"/>
  <c r="N33" i="29"/>
  <c r="M33" i="29"/>
  <c r="L33" i="29"/>
  <c r="G33" i="29"/>
  <c r="F33" i="29"/>
  <c r="E33" i="29"/>
  <c r="D33" i="29"/>
  <c r="C33" i="29"/>
  <c r="B33" i="29"/>
  <c r="Z32" i="29"/>
  <c r="Y32" i="29"/>
  <c r="X32" i="29"/>
  <c r="W32" i="29"/>
  <c r="V32" i="29"/>
  <c r="U32" i="29"/>
  <c r="T32" i="29"/>
  <c r="S32" i="29"/>
  <c r="R32" i="29"/>
  <c r="Q32" i="29"/>
  <c r="P32" i="29"/>
  <c r="O32" i="29"/>
  <c r="N32" i="29"/>
  <c r="M32" i="29"/>
  <c r="L32" i="29"/>
  <c r="C32" i="29"/>
  <c r="B32" i="29"/>
  <c r="Z31" i="29"/>
  <c r="Y31" i="29"/>
  <c r="X31" i="29"/>
  <c r="W31" i="29"/>
  <c r="V31" i="29"/>
  <c r="U31" i="29"/>
  <c r="T31" i="29"/>
  <c r="S31" i="29"/>
  <c r="R31" i="29"/>
  <c r="Q31" i="29"/>
  <c r="P31" i="29"/>
  <c r="O31" i="29"/>
  <c r="N31" i="29"/>
  <c r="M31" i="29"/>
  <c r="L31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G30" i="29"/>
  <c r="F30" i="29"/>
  <c r="E30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C29" i="29"/>
  <c r="B29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Z26" i="29"/>
  <c r="Y26" i="29"/>
  <c r="Y36" i="29" s="1"/>
  <c r="X26" i="29"/>
  <c r="X36" i="29" s="1"/>
  <c r="W26" i="29"/>
  <c r="V26" i="29"/>
  <c r="U26" i="29"/>
  <c r="T26" i="29"/>
  <c r="S26" i="29"/>
  <c r="R26" i="29"/>
  <c r="Q26" i="29"/>
  <c r="P26" i="29"/>
  <c r="O26" i="29"/>
  <c r="N26" i="29"/>
  <c r="N36" i="29" s="1"/>
  <c r="M26" i="29"/>
  <c r="M36" i="29" s="1"/>
  <c r="L26" i="29"/>
  <c r="L36" i="29" s="1"/>
  <c r="G26" i="29"/>
  <c r="F26" i="29"/>
  <c r="E26" i="29"/>
  <c r="C26" i="29"/>
  <c r="B26" i="29"/>
  <c r="B16" i="29"/>
  <c r="G35" i="29" s="1"/>
  <c r="B15" i="29"/>
  <c r="D34" i="29" s="1"/>
  <c r="B14" i="29"/>
  <c r="B13" i="29"/>
  <c r="G32" i="29" s="1"/>
  <c r="B12" i="29"/>
  <c r="G31" i="29" s="1"/>
  <c r="B11" i="29"/>
  <c r="D30" i="29" s="1"/>
  <c r="B10" i="29"/>
  <c r="G29" i="29" s="1"/>
  <c r="B9" i="29"/>
  <c r="G28" i="29" s="1"/>
  <c r="B8" i="29"/>
  <c r="G27" i="29" s="1"/>
  <c r="B7" i="29"/>
  <c r="D26" i="29" s="1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C35" i="28"/>
  <c r="B35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N34" i="28"/>
  <c r="M34" i="28"/>
  <c r="L34" i="28"/>
  <c r="G34" i="28"/>
  <c r="F34" i="28"/>
  <c r="E34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N33" i="28"/>
  <c r="M33" i="28"/>
  <c r="L33" i="28"/>
  <c r="G33" i="28"/>
  <c r="F33" i="28"/>
  <c r="E33" i="28"/>
  <c r="D33" i="28"/>
  <c r="C33" i="28"/>
  <c r="B33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N32" i="28"/>
  <c r="M32" i="28"/>
  <c r="L32" i="28"/>
  <c r="C32" i="28"/>
  <c r="B32" i="28"/>
  <c r="Z31" i="28"/>
  <c r="Y31" i="28"/>
  <c r="X31" i="28"/>
  <c r="W31" i="28"/>
  <c r="V31" i="28"/>
  <c r="U31" i="28"/>
  <c r="T31" i="28"/>
  <c r="S31" i="28"/>
  <c r="R31" i="28"/>
  <c r="Q31" i="28"/>
  <c r="P31" i="28"/>
  <c r="O31" i="28"/>
  <c r="N31" i="28"/>
  <c r="M31" i="28"/>
  <c r="L31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G30" i="28"/>
  <c r="F30" i="28"/>
  <c r="E30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C29" i="28"/>
  <c r="B29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E26" i="28"/>
  <c r="B26" i="28"/>
  <c r="B16" i="28"/>
  <c r="G35" i="28" s="1"/>
  <c r="B15" i="28"/>
  <c r="D34" i="28" s="1"/>
  <c r="B14" i="28"/>
  <c r="B13" i="28"/>
  <c r="G32" i="28" s="1"/>
  <c r="B12" i="28"/>
  <c r="G31" i="28" s="1"/>
  <c r="B11" i="28"/>
  <c r="D30" i="28" s="1"/>
  <c r="B10" i="28"/>
  <c r="F29" i="28" s="1"/>
  <c r="B9" i="28"/>
  <c r="B28" i="28" s="1"/>
  <c r="B8" i="28"/>
  <c r="G27" i="28" s="1"/>
  <c r="B7" i="28"/>
  <c r="D26" i="28" s="1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C35" i="27"/>
  <c r="B35" i="27"/>
  <c r="Z34" i="27"/>
  <c r="Y34" i="27"/>
  <c r="X34" i="27"/>
  <c r="W34" i="27"/>
  <c r="V34" i="27"/>
  <c r="U34" i="27"/>
  <c r="T34" i="27"/>
  <c r="S34" i="27"/>
  <c r="R34" i="27"/>
  <c r="Q34" i="27"/>
  <c r="P34" i="27"/>
  <c r="O34" i="27"/>
  <c r="N34" i="27"/>
  <c r="M34" i="27"/>
  <c r="L34" i="27"/>
  <c r="G34" i="27"/>
  <c r="F34" i="27"/>
  <c r="E34" i="27"/>
  <c r="Z33" i="27"/>
  <c r="Y33" i="27"/>
  <c r="X33" i="27"/>
  <c r="W33" i="27"/>
  <c r="V33" i="27"/>
  <c r="U33" i="27"/>
  <c r="T33" i="27"/>
  <c r="S33" i="27"/>
  <c r="R33" i="27"/>
  <c r="Q33" i="27"/>
  <c r="P33" i="27"/>
  <c r="O33" i="27"/>
  <c r="N33" i="27"/>
  <c r="M33" i="27"/>
  <c r="L33" i="27"/>
  <c r="G33" i="27"/>
  <c r="F33" i="27"/>
  <c r="E33" i="27"/>
  <c r="D33" i="27"/>
  <c r="C33" i="27"/>
  <c r="B33" i="27"/>
  <c r="Z32" i="27"/>
  <c r="Y32" i="27"/>
  <c r="X32" i="27"/>
  <c r="W32" i="27"/>
  <c r="V32" i="27"/>
  <c r="U32" i="27"/>
  <c r="T32" i="27"/>
  <c r="S32" i="27"/>
  <c r="R32" i="27"/>
  <c r="Q32" i="27"/>
  <c r="P32" i="27"/>
  <c r="O32" i="27"/>
  <c r="N32" i="27"/>
  <c r="M32" i="27"/>
  <c r="L32" i="27"/>
  <c r="C32" i="27"/>
  <c r="B32" i="27"/>
  <c r="Z31" i="27"/>
  <c r="Y31" i="27"/>
  <c r="X31" i="27"/>
  <c r="W31" i="27"/>
  <c r="V31" i="27"/>
  <c r="U31" i="27"/>
  <c r="T31" i="27"/>
  <c r="S31" i="27"/>
  <c r="R31" i="27"/>
  <c r="Q31" i="27"/>
  <c r="P31" i="27"/>
  <c r="O31" i="27"/>
  <c r="N31" i="27"/>
  <c r="M31" i="27"/>
  <c r="L31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G30" i="27"/>
  <c r="F30" i="27"/>
  <c r="E30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C29" i="27"/>
  <c r="B29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G26" i="27"/>
  <c r="F26" i="27"/>
  <c r="E26" i="27"/>
  <c r="C26" i="27"/>
  <c r="B26" i="27"/>
  <c r="B16" i="27"/>
  <c r="G35" i="27" s="1"/>
  <c r="B15" i="27"/>
  <c r="D34" i="27" s="1"/>
  <c r="B14" i="27"/>
  <c r="B13" i="27"/>
  <c r="G32" i="27" s="1"/>
  <c r="B12" i="27"/>
  <c r="G31" i="27" s="1"/>
  <c r="B11" i="27"/>
  <c r="D30" i="27" s="1"/>
  <c r="B10" i="27"/>
  <c r="E29" i="27" s="1"/>
  <c r="B9" i="27"/>
  <c r="D28" i="27" s="1"/>
  <c r="B8" i="27"/>
  <c r="G27" i="27" s="1"/>
  <c r="B7" i="27"/>
  <c r="D26" i="27" s="1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C35" i="26"/>
  <c r="B35" i="26"/>
  <c r="Z34" i="26"/>
  <c r="Y34" i="26"/>
  <c r="X34" i="26"/>
  <c r="W34" i="26"/>
  <c r="V34" i="26"/>
  <c r="U34" i="26"/>
  <c r="T34" i="26"/>
  <c r="S34" i="26"/>
  <c r="R34" i="26"/>
  <c r="Q34" i="26"/>
  <c r="P34" i="26"/>
  <c r="O34" i="26"/>
  <c r="N34" i="26"/>
  <c r="M34" i="26"/>
  <c r="L34" i="26"/>
  <c r="G34" i="26"/>
  <c r="F34" i="26"/>
  <c r="E34" i="26"/>
  <c r="Z33" i="26"/>
  <c r="Y33" i="26"/>
  <c r="X33" i="26"/>
  <c r="W33" i="26"/>
  <c r="V33" i="26"/>
  <c r="U33" i="26"/>
  <c r="T33" i="26"/>
  <c r="S33" i="26"/>
  <c r="R33" i="26"/>
  <c r="Q33" i="26"/>
  <c r="P33" i="26"/>
  <c r="O33" i="26"/>
  <c r="N33" i="26"/>
  <c r="M33" i="26"/>
  <c r="L33" i="26"/>
  <c r="G33" i="26"/>
  <c r="F33" i="26"/>
  <c r="E33" i="26"/>
  <c r="D33" i="26"/>
  <c r="C33" i="26"/>
  <c r="B33" i="26"/>
  <c r="Z32" i="26"/>
  <c r="Y32" i="26"/>
  <c r="X32" i="26"/>
  <c r="W32" i="26"/>
  <c r="V32" i="26"/>
  <c r="U32" i="26"/>
  <c r="T32" i="26"/>
  <c r="S32" i="26"/>
  <c r="R32" i="26"/>
  <c r="Q32" i="26"/>
  <c r="P32" i="26"/>
  <c r="O32" i="26"/>
  <c r="N32" i="26"/>
  <c r="M32" i="26"/>
  <c r="L32" i="26"/>
  <c r="C32" i="26"/>
  <c r="B32" i="26"/>
  <c r="Z31" i="26"/>
  <c r="Y31" i="26"/>
  <c r="X31" i="26"/>
  <c r="W31" i="26"/>
  <c r="V31" i="26"/>
  <c r="U31" i="26"/>
  <c r="T31" i="26"/>
  <c r="S31" i="26"/>
  <c r="R31" i="26"/>
  <c r="Q31" i="26"/>
  <c r="P31" i="26"/>
  <c r="O31" i="26"/>
  <c r="N31" i="26"/>
  <c r="M31" i="26"/>
  <c r="L31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G30" i="26"/>
  <c r="F30" i="26"/>
  <c r="E30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C29" i="26"/>
  <c r="B29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B16" i="26"/>
  <c r="G35" i="26" s="1"/>
  <c r="B15" i="26"/>
  <c r="D34" i="26" s="1"/>
  <c r="B14" i="26"/>
  <c r="B13" i="26"/>
  <c r="F32" i="26" s="1"/>
  <c r="B12" i="26"/>
  <c r="G31" i="26" s="1"/>
  <c r="B11" i="26"/>
  <c r="D30" i="26" s="1"/>
  <c r="B10" i="26"/>
  <c r="E29" i="26" s="1"/>
  <c r="B9" i="26"/>
  <c r="F28" i="26" s="1"/>
  <c r="B8" i="26"/>
  <c r="G27" i="26" s="1"/>
  <c r="B7" i="26"/>
  <c r="D26" i="26" s="1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C35" i="25"/>
  <c r="B35" i="25"/>
  <c r="Z34" i="25"/>
  <c r="Y34" i="25"/>
  <c r="X34" i="25"/>
  <c r="W34" i="25"/>
  <c r="V34" i="25"/>
  <c r="U34" i="25"/>
  <c r="T34" i="25"/>
  <c r="S34" i="25"/>
  <c r="R34" i="25"/>
  <c r="Q34" i="25"/>
  <c r="P34" i="25"/>
  <c r="O34" i="25"/>
  <c r="N34" i="25"/>
  <c r="M34" i="25"/>
  <c r="L34" i="25"/>
  <c r="G34" i="25"/>
  <c r="F34" i="25"/>
  <c r="E34" i="25"/>
  <c r="Z33" i="25"/>
  <c r="Y33" i="25"/>
  <c r="X33" i="25"/>
  <c r="W33" i="25"/>
  <c r="V33" i="25"/>
  <c r="U33" i="25"/>
  <c r="T33" i="25"/>
  <c r="S33" i="25"/>
  <c r="R33" i="25"/>
  <c r="Q33" i="25"/>
  <c r="P33" i="25"/>
  <c r="O33" i="25"/>
  <c r="N33" i="25"/>
  <c r="M33" i="25"/>
  <c r="L33" i="25"/>
  <c r="G33" i="25"/>
  <c r="F33" i="25"/>
  <c r="E33" i="25"/>
  <c r="D33" i="25"/>
  <c r="C33" i="25"/>
  <c r="B33" i="25"/>
  <c r="Z32" i="25"/>
  <c r="Y32" i="25"/>
  <c r="X32" i="25"/>
  <c r="W32" i="25"/>
  <c r="V32" i="25"/>
  <c r="U32" i="25"/>
  <c r="T32" i="25"/>
  <c r="S32" i="25"/>
  <c r="R32" i="25"/>
  <c r="Q32" i="25"/>
  <c r="P32" i="25"/>
  <c r="O32" i="25"/>
  <c r="N32" i="25"/>
  <c r="M32" i="25"/>
  <c r="L32" i="25"/>
  <c r="C32" i="25"/>
  <c r="B32" i="25"/>
  <c r="Z31" i="25"/>
  <c r="Y31" i="25"/>
  <c r="X31" i="25"/>
  <c r="W31" i="25"/>
  <c r="V31" i="25"/>
  <c r="U31" i="25"/>
  <c r="T31" i="25"/>
  <c r="S31" i="25"/>
  <c r="R31" i="25"/>
  <c r="Q31" i="25"/>
  <c r="P31" i="25"/>
  <c r="O31" i="25"/>
  <c r="N31" i="25"/>
  <c r="M31" i="25"/>
  <c r="L31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G30" i="25"/>
  <c r="F30" i="25"/>
  <c r="E30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C29" i="25"/>
  <c r="B29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Z26" i="25"/>
  <c r="Z36" i="25" s="1"/>
  <c r="Y26" i="25"/>
  <c r="Y36" i="25" s="1"/>
  <c r="X26" i="25"/>
  <c r="X36" i="25" s="1"/>
  <c r="W26" i="25"/>
  <c r="W36" i="25" s="1"/>
  <c r="V26" i="25"/>
  <c r="V36" i="25" s="1"/>
  <c r="U26" i="25"/>
  <c r="U36" i="25" s="1"/>
  <c r="T26" i="25"/>
  <c r="S26" i="25"/>
  <c r="R26" i="25"/>
  <c r="Q26" i="25"/>
  <c r="P26" i="25"/>
  <c r="O26" i="25"/>
  <c r="N26" i="25"/>
  <c r="N36" i="25" s="1"/>
  <c r="M26" i="25"/>
  <c r="M36" i="25" s="1"/>
  <c r="L26" i="25"/>
  <c r="L36" i="25" s="1"/>
  <c r="G26" i="25"/>
  <c r="F26" i="25"/>
  <c r="E26" i="25"/>
  <c r="C26" i="25"/>
  <c r="B26" i="25"/>
  <c r="B16" i="25"/>
  <c r="G35" i="25" s="1"/>
  <c r="B15" i="25"/>
  <c r="D34" i="25" s="1"/>
  <c r="B14" i="25"/>
  <c r="B13" i="25"/>
  <c r="G32" i="25" s="1"/>
  <c r="B12" i="25"/>
  <c r="G31" i="25" s="1"/>
  <c r="B11" i="25"/>
  <c r="D30" i="25" s="1"/>
  <c r="B10" i="25"/>
  <c r="G29" i="25" s="1"/>
  <c r="B9" i="25"/>
  <c r="G28" i="25" s="1"/>
  <c r="B8" i="25"/>
  <c r="G27" i="25" s="1"/>
  <c r="B7" i="25"/>
  <c r="D26" i="25" s="1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C35" i="24"/>
  <c r="B35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G34" i="24"/>
  <c r="F34" i="24"/>
  <c r="E34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G33" i="24"/>
  <c r="F33" i="24"/>
  <c r="E33" i="24"/>
  <c r="D33" i="24"/>
  <c r="C33" i="24"/>
  <c r="B33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C32" i="24"/>
  <c r="B32" i="24"/>
  <c r="Z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G30" i="24"/>
  <c r="F30" i="24"/>
  <c r="E30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C29" i="24"/>
  <c r="B29" i="24"/>
  <c r="Z28" i="24"/>
  <c r="Y28" i="24"/>
  <c r="X28" i="24"/>
  <c r="W28" i="24"/>
  <c r="V28" i="24"/>
  <c r="U28" i="24"/>
  <c r="T28" i="24"/>
  <c r="S28" i="24"/>
  <c r="R28" i="24"/>
  <c r="R36" i="24" s="1"/>
  <c r="Q28" i="24"/>
  <c r="P28" i="24"/>
  <c r="O28" i="24"/>
  <c r="N28" i="24"/>
  <c r="M28" i="24"/>
  <c r="L28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Z26" i="24"/>
  <c r="Z36" i="24" s="1"/>
  <c r="Y26" i="24"/>
  <c r="Y36" i="24" s="1"/>
  <c r="X26" i="24"/>
  <c r="X36" i="24" s="1"/>
  <c r="W26" i="24"/>
  <c r="W36" i="24" s="1"/>
  <c r="V26" i="24"/>
  <c r="V36" i="24" s="1"/>
  <c r="U26" i="24"/>
  <c r="U36" i="24" s="1"/>
  <c r="T26" i="24"/>
  <c r="S26" i="24"/>
  <c r="R26" i="24"/>
  <c r="Q26" i="24"/>
  <c r="P26" i="24"/>
  <c r="O26" i="24"/>
  <c r="N26" i="24"/>
  <c r="N36" i="24" s="1"/>
  <c r="M26" i="24"/>
  <c r="M36" i="24" s="1"/>
  <c r="L26" i="24"/>
  <c r="L36" i="24" s="1"/>
  <c r="G26" i="24"/>
  <c r="F26" i="24"/>
  <c r="E26" i="24"/>
  <c r="B26" i="24"/>
  <c r="B16" i="24"/>
  <c r="G35" i="24" s="1"/>
  <c r="B15" i="24"/>
  <c r="D34" i="24" s="1"/>
  <c r="B14" i="24"/>
  <c r="B13" i="24"/>
  <c r="F32" i="24" s="1"/>
  <c r="B12" i="24"/>
  <c r="G31" i="24" s="1"/>
  <c r="B11" i="24"/>
  <c r="D30" i="24" s="1"/>
  <c r="B10" i="24"/>
  <c r="G29" i="24" s="1"/>
  <c r="B9" i="24"/>
  <c r="F28" i="24" s="1"/>
  <c r="B8" i="24"/>
  <c r="G27" i="24" s="1"/>
  <c r="B7" i="24"/>
  <c r="D26" i="24" s="1"/>
  <c r="B4" i="3" a="1"/>
  <c r="S36" i="24"/>
  <c r="R36" i="27"/>
  <c r="M36" i="27"/>
  <c r="Y36" i="27"/>
  <c r="S36" i="27"/>
  <c r="T36" i="27"/>
  <c r="R36" i="26"/>
  <c r="T36" i="26"/>
  <c r="S36" i="26"/>
  <c r="Y36" i="26"/>
  <c r="L36" i="26"/>
  <c r="X36" i="26"/>
  <c r="N36" i="26"/>
  <c r="X36" i="28"/>
  <c r="M36" i="28"/>
  <c r="Y36" i="28"/>
  <c r="L36" i="28"/>
  <c r="N36" i="28"/>
  <c r="Z36" i="28"/>
  <c r="R36" i="29"/>
  <c r="T36" i="29"/>
  <c r="Z36" i="29"/>
  <c r="S36" i="29"/>
  <c r="U36" i="29"/>
  <c r="V36" i="29"/>
  <c r="W36" i="29"/>
  <c r="Q36" i="29"/>
  <c r="P36" i="29"/>
  <c r="O36" i="29"/>
  <c r="G36" i="29"/>
  <c r="D29" i="29"/>
  <c r="B28" i="29"/>
  <c r="E29" i="29"/>
  <c r="F29" i="29"/>
  <c r="B31" i="29"/>
  <c r="C27" i="29"/>
  <c r="C31" i="29"/>
  <c r="C28" i="29"/>
  <c r="D28" i="29"/>
  <c r="D32" i="29"/>
  <c r="B27" i="29"/>
  <c r="E28" i="29"/>
  <c r="E32" i="29"/>
  <c r="F28" i="29"/>
  <c r="F32" i="29"/>
  <c r="D27" i="29"/>
  <c r="D36" i="29" s="1"/>
  <c r="D31" i="29"/>
  <c r="D35" i="29"/>
  <c r="E27" i="29"/>
  <c r="E36" i="29" s="1"/>
  <c r="B30" i="29"/>
  <c r="E31" i="29"/>
  <c r="B34" i="29"/>
  <c r="E35" i="29"/>
  <c r="F27" i="29"/>
  <c r="F36" i="29" s="1"/>
  <c r="C30" i="29"/>
  <c r="F31" i="29"/>
  <c r="C34" i="29"/>
  <c r="F35" i="29"/>
  <c r="T36" i="28"/>
  <c r="F26" i="28"/>
  <c r="G26" i="28"/>
  <c r="U36" i="28"/>
  <c r="V36" i="28"/>
  <c r="P36" i="28"/>
  <c r="O36" i="28"/>
  <c r="W36" i="28"/>
  <c r="Q36" i="28"/>
  <c r="E29" i="28"/>
  <c r="C28" i="28"/>
  <c r="D28" i="28"/>
  <c r="G29" i="28"/>
  <c r="D32" i="28"/>
  <c r="B27" i="28"/>
  <c r="B36" i="28" s="1"/>
  <c r="E28" i="28"/>
  <c r="E32" i="28"/>
  <c r="C27" i="28"/>
  <c r="F28" i="28"/>
  <c r="C31" i="28"/>
  <c r="F32" i="28"/>
  <c r="G28" i="28"/>
  <c r="G36" i="28" s="1"/>
  <c r="D35" i="28"/>
  <c r="E27" i="28"/>
  <c r="E31" i="28"/>
  <c r="E35" i="28"/>
  <c r="C26" i="28"/>
  <c r="F27" i="28"/>
  <c r="C30" i="28"/>
  <c r="F31" i="28"/>
  <c r="C34" i="28"/>
  <c r="F35" i="28"/>
  <c r="D29" i="28"/>
  <c r="B31" i="28"/>
  <c r="D27" i="28"/>
  <c r="D31" i="28"/>
  <c r="B30" i="28"/>
  <c r="B34" i="28"/>
  <c r="U36" i="27"/>
  <c r="V36" i="27"/>
  <c r="Z36" i="27"/>
  <c r="X36" i="27"/>
  <c r="W36" i="27"/>
  <c r="N36" i="27"/>
  <c r="L36" i="27"/>
  <c r="O36" i="27"/>
  <c r="P36" i="27"/>
  <c r="Q36" i="27"/>
  <c r="B28" i="27"/>
  <c r="F29" i="27"/>
  <c r="G29" i="27"/>
  <c r="E28" i="27"/>
  <c r="E32" i="27"/>
  <c r="F28" i="27"/>
  <c r="F32" i="27"/>
  <c r="G28" i="27"/>
  <c r="G36" i="27" s="1"/>
  <c r="D31" i="27"/>
  <c r="E27" i="27"/>
  <c r="E36" i="27" s="1"/>
  <c r="E31" i="27"/>
  <c r="C30" i="27"/>
  <c r="F35" i="27"/>
  <c r="D29" i="27"/>
  <c r="C28" i="27"/>
  <c r="D32" i="27"/>
  <c r="B27" i="27"/>
  <c r="B31" i="27"/>
  <c r="C27" i="27"/>
  <c r="C31" i="27"/>
  <c r="D27" i="27"/>
  <c r="D36" i="27" s="1"/>
  <c r="D35" i="27"/>
  <c r="B30" i="27"/>
  <c r="B34" i="27"/>
  <c r="E35" i="27"/>
  <c r="F27" i="27"/>
  <c r="F36" i="27" s="1"/>
  <c r="F31" i="27"/>
  <c r="C34" i="27"/>
  <c r="V36" i="26"/>
  <c r="W36" i="26"/>
  <c r="Z36" i="26"/>
  <c r="U36" i="26"/>
  <c r="M36" i="26"/>
  <c r="B26" i="26"/>
  <c r="E26" i="26"/>
  <c r="P36" i="26"/>
  <c r="O36" i="26"/>
  <c r="F26" i="26"/>
  <c r="G26" i="26"/>
  <c r="Q36" i="26"/>
  <c r="D29" i="26"/>
  <c r="B28" i="26"/>
  <c r="F29" i="26"/>
  <c r="G29" i="26"/>
  <c r="B27" i="26"/>
  <c r="B31" i="26"/>
  <c r="C27" i="26"/>
  <c r="C31" i="26"/>
  <c r="G28" i="26"/>
  <c r="G32" i="26"/>
  <c r="E27" i="26"/>
  <c r="B30" i="26"/>
  <c r="B34" i="26"/>
  <c r="E35" i="26"/>
  <c r="C26" i="26"/>
  <c r="F27" i="26"/>
  <c r="F36" i="26" s="1"/>
  <c r="C30" i="26"/>
  <c r="F31" i="26"/>
  <c r="C34" i="26"/>
  <c r="F35" i="26"/>
  <c r="C28" i="26"/>
  <c r="D28" i="26"/>
  <c r="D32" i="26"/>
  <c r="E28" i="26"/>
  <c r="E32" i="26"/>
  <c r="D27" i="26"/>
  <c r="D36" i="26" s="1"/>
  <c r="D31" i="26"/>
  <c r="D35" i="26"/>
  <c r="E31" i="26"/>
  <c r="P36" i="25"/>
  <c r="Q36" i="25"/>
  <c r="O36" i="25"/>
  <c r="G36" i="25"/>
  <c r="D29" i="25"/>
  <c r="B28" i="25"/>
  <c r="E29" i="25"/>
  <c r="C28" i="25"/>
  <c r="F29" i="25"/>
  <c r="D28" i="25"/>
  <c r="D32" i="25"/>
  <c r="B27" i="25"/>
  <c r="E28" i="25"/>
  <c r="B31" i="25"/>
  <c r="E32" i="25"/>
  <c r="C27" i="25"/>
  <c r="F28" i="25"/>
  <c r="C31" i="25"/>
  <c r="F32" i="25"/>
  <c r="D27" i="25"/>
  <c r="D36" i="25" s="1"/>
  <c r="D31" i="25"/>
  <c r="D35" i="25"/>
  <c r="E27" i="25"/>
  <c r="E36" i="25" s="1"/>
  <c r="B30" i="25"/>
  <c r="E31" i="25"/>
  <c r="B34" i="25"/>
  <c r="E35" i="25"/>
  <c r="F27" i="25"/>
  <c r="F36" i="25" s="1"/>
  <c r="C30" i="25"/>
  <c r="F31" i="25"/>
  <c r="C34" i="25"/>
  <c r="F35" i="25"/>
  <c r="P36" i="24"/>
  <c r="Q36" i="24"/>
  <c r="T36" i="24"/>
  <c r="O36" i="24"/>
  <c r="G36" i="24"/>
  <c r="D29" i="24"/>
  <c r="E29" i="24"/>
  <c r="F29" i="24"/>
  <c r="D28" i="24"/>
  <c r="D32" i="24"/>
  <c r="B27" i="24"/>
  <c r="E32" i="24"/>
  <c r="C31" i="24"/>
  <c r="D27" i="24"/>
  <c r="G28" i="24"/>
  <c r="G32" i="24"/>
  <c r="E27" i="24"/>
  <c r="E31" i="24"/>
  <c r="C26" i="24"/>
  <c r="F27" i="24"/>
  <c r="C30" i="24"/>
  <c r="F31" i="24"/>
  <c r="C34" i="24"/>
  <c r="F35" i="24"/>
  <c r="B28" i="24"/>
  <c r="C28" i="24"/>
  <c r="E28" i="24"/>
  <c r="B31" i="24"/>
  <c r="C27" i="24"/>
  <c r="D31" i="24"/>
  <c r="D35" i="24"/>
  <c r="B30" i="24"/>
  <c r="B34" i="24"/>
  <c r="E35" i="24"/>
  <c r="G35" i="2"/>
  <c r="F35" i="2"/>
  <c r="E35" i="2"/>
  <c r="D35" i="2"/>
  <c r="G34" i="2"/>
  <c r="F34" i="2"/>
  <c r="E34" i="2"/>
  <c r="D34" i="2"/>
  <c r="G33" i="2"/>
  <c r="F33" i="2"/>
  <c r="E33" i="2"/>
  <c r="D33" i="2"/>
  <c r="G32" i="2"/>
  <c r="F32" i="2"/>
  <c r="E32" i="2"/>
  <c r="D32" i="2"/>
  <c r="G31" i="2"/>
  <c r="F31" i="2"/>
  <c r="E31" i="2"/>
  <c r="D31" i="2"/>
  <c r="G30" i="2"/>
  <c r="F30" i="2"/>
  <c r="E30" i="2"/>
  <c r="D30" i="2"/>
  <c r="G29" i="2"/>
  <c r="F29" i="2"/>
  <c r="E29" i="2"/>
  <c r="D29" i="2"/>
  <c r="G28" i="2"/>
  <c r="F28" i="2"/>
  <c r="E28" i="2"/>
  <c r="D28" i="2"/>
  <c r="G27" i="2"/>
  <c r="F27" i="2"/>
  <c r="E27" i="2"/>
  <c r="D27" i="2"/>
  <c r="G26" i="2"/>
  <c r="F26" i="2"/>
  <c r="E26" i="2"/>
  <c r="D26" i="2"/>
  <c r="C35" i="2"/>
  <c r="C34" i="2"/>
  <c r="C33" i="2"/>
  <c r="C32" i="2"/>
  <c r="C31" i="2"/>
  <c r="C30" i="2"/>
  <c r="C29" i="2"/>
  <c r="C28" i="2"/>
  <c r="C27" i="2"/>
  <c r="C26" i="2"/>
  <c r="B35" i="2"/>
  <c r="B34" i="2"/>
  <c r="B33" i="2"/>
  <c r="B32" i="2"/>
  <c r="B31" i="2"/>
  <c r="B30" i="2"/>
  <c r="B29" i="2"/>
  <c r="B28" i="2"/>
  <c r="S36" i="28" l="1"/>
  <c r="R36" i="28"/>
  <c r="R36" i="25"/>
  <c r="S36" i="25"/>
  <c r="T36" i="25"/>
  <c r="E36" i="24"/>
  <c r="F36" i="24"/>
  <c r="D36" i="24"/>
  <c r="E36" i="28"/>
  <c r="C36" i="29"/>
  <c r="B36" i="29"/>
  <c r="F36" i="28"/>
  <c r="D36" i="28"/>
  <c r="C36" i="28"/>
  <c r="C36" i="27"/>
  <c r="B36" i="27"/>
  <c r="E36" i="26"/>
  <c r="G36" i="26"/>
  <c r="B36" i="26"/>
  <c r="C36" i="26"/>
  <c r="B36" i="25"/>
  <c r="C36" i="25"/>
  <c r="B36" i="24"/>
  <c r="C36" i="24"/>
  <c r="H41" i="3" a="1"/>
  <c r="J9" i="3" a="1"/>
  <c r="G9" i="3" a="1"/>
  <c r="J26" i="3" a="1"/>
  <c r="H6" i="3" a="1"/>
  <c r="K23" i="3" a="1"/>
  <c r="I36" i="3" a="1"/>
  <c r="I6" i="3" a="1"/>
  <c r="K33" i="3" a="1"/>
  <c r="J18" i="3" a="1"/>
  <c r="J6" i="3" a="1"/>
  <c r="J50" i="3" a="1"/>
  <c r="G36" i="3" a="1"/>
  <c r="I45" i="3" a="1"/>
  <c r="H53" i="3" a="1"/>
  <c r="J41" i="3" a="1"/>
  <c r="I18" i="3" a="1"/>
  <c r="G32" i="3" a="1"/>
  <c r="I33" i="3" a="1"/>
  <c r="K32" i="3" a="1"/>
  <c r="H35" i="3" a="1"/>
  <c r="H5" i="3" a="1"/>
  <c r="H36" i="3" a="1"/>
  <c r="I35" i="3" a="1"/>
  <c r="I53" i="3" a="1"/>
  <c r="B30" i="3" a="1"/>
  <c r="H45" i="3" a="1"/>
  <c r="J36" i="3" a="1"/>
  <c r="J24" i="3" a="1"/>
  <c r="G51" i="3" a="1"/>
  <c r="H32" i="3" a="1"/>
  <c r="H23" i="3" a="1"/>
  <c r="H9" i="3" a="1"/>
  <c r="K41" i="3" a="1"/>
  <c r="K14" i="3" a="1"/>
  <c r="J33" i="3" a="1"/>
  <c r="H51" i="3" a="1"/>
  <c r="B48" i="3" a="1"/>
  <c r="K9" i="3" a="1"/>
  <c r="G50" i="3" a="1"/>
  <c r="H26" i="3" a="1"/>
  <c r="J27" i="3" a="1"/>
  <c r="I27" i="3" a="1"/>
  <c r="G42" i="3" a="1"/>
  <c r="I24" i="3" a="1"/>
  <c r="H27" i="3" a="1"/>
  <c r="B21" i="3" a="1"/>
  <c r="K18" i="3" a="1"/>
  <c r="J35" i="3" a="1"/>
  <c r="G44" i="3" a="1"/>
  <c r="K6" i="3" a="1"/>
  <c r="K24" i="3" a="1"/>
  <c r="H33" i="3" a="1"/>
  <c r="H42" i="3" a="1"/>
  <c r="J45" i="3" a="1"/>
  <c r="J15" i="3" a="1"/>
  <c r="H8" i="3" a="1"/>
  <c r="I51" i="3" a="1"/>
  <c r="G18" i="3" a="1"/>
  <c r="I54" i="3" a="1"/>
  <c r="G27" i="3" a="1"/>
  <c r="J32" i="3" a="1"/>
  <c r="G6" i="3" a="1"/>
  <c r="K8" i="3" a="1"/>
  <c r="K53" i="3" a="1"/>
  <c r="K26" i="3" a="1"/>
  <c r="J53" i="3" a="1"/>
  <c r="K45" i="3" a="1"/>
  <c r="G14" i="3" a="1"/>
  <c r="G15" i="3" a="1"/>
  <c r="G45" i="3" a="1"/>
  <c r="G8" i="3" a="1"/>
  <c r="K42" i="3" a="1"/>
  <c r="G24" i="3" a="1"/>
  <c r="H54" i="3" a="1"/>
  <c r="K50" i="3" a="1"/>
  <c r="G17" i="3" a="1"/>
  <c r="I50" i="3" a="1"/>
  <c r="I8" i="3" a="1"/>
  <c r="I5" i="3" a="1"/>
  <c r="H50" i="3" a="1"/>
  <c r="K15" i="3" a="1"/>
  <c r="K54" i="3" a="1"/>
  <c r="J17" i="3" a="1"/>
  <c r="K51" i="3" a="1"/>
  <c r="I44" i="3" a="1"/>
  <c r="K17" i="3" a="1"/>
  <c r="G35" i="3" a="1"/>
  <c r="H14" i="3" a="1"/>
  <c r="J23" i="3" a="1"/>
  <c r="J42" i="3" a="1"/>
  <c r="K5" i="3" a="1"/>
  <c r="K36" i="3" a="1"/>
  <c r="H24" i="3" a="1"/>
  <c r="G54" i="3" a="1"/>
  <c r="I41" i="3" a="1"/>
  <c r="J14" i="3" a="1"/>
  <c r="I23" i="3" a="1"/>
  <c r="I9" i="3" a="1"/>
  <c r="K44" i="3" a="1"/>
  <c r="G33" i="3" a="1"/>
  <c r="G26" i="3" a="1"/>
  <c r="I15" i="3" a="1"/>
  <c r="H17" i="3" a="1"/>
  <c r="G5" i="3" a="1"/>
  <c r="J8" i="3" a="1"/>
  <c r="H44" i="3" a="1"/>
  <c r="I17" i="3" a="1"/>
  <c r="K35" i="3" a="1"/>
  <c r="B39" i="3" a="1"/>
  <c r="H15" i="3" a="1"/>
  <c r="J44" i="3" a="1"/>
  <c r="I14" i="3" a="1"/>
  <c r="I32" i="3" a="1"/>
  <c r="J51" i="3" a="1"/>
  <c r="G23" i="3" a="1"/>
  <c r="J5" i="3" a="1"/>
  <c r="G41" i="3" a="1"/>
  <c r="K27" i="3" a="1"/>
  <c r="G53" i="3" a="1"/>
  <c r="H18" i="3" a="1"/>
  <c r="J54" i="3" a="1"/>
  <c r="I26" i="3" a="1"/>
  <c r="I42" i="3" a="1"/>
  <c r="B16" i="2"/>
  <c r="B15" i="2"/>
  <c r="B14" i="2"/>
  <c r="B13" i="2"/>
  <c r="B12" i="2"/>
  <c r="B11" i="2"/>
  <c r="B10" i="2"/>
  <c r="B9" i="2"/>
  <c r="B8" i="2"/>
  <c r="B7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B3" i="3" a="1"/>
  <c r="B12" i="3" a="1"/>
  <c r="B27" i="2" l="1"/>
  <c r="B26" i="2"/>
  <c r="B36" i="2" s="1"/>
  <c r="G36" i="2"/>
  <c r="F36" i="2"/>
  <c r="O36" i="2"/>
  <c r="U36" i="2"/>
  <c r="X36" i="2"/>
  <c r="Q36" i="2"/>
  <c r="R36" i="2"/>
  <c r="S36" i="2"/>
  <c r="Y36" i="2"/>
  <c r="V36" i="2"/>
  <c r="W36" i="2"/>
  <c r="Z36" i="2"/>
  <c r="N36" i="2"/>
  <c r="M36" i="2"/>
  <c r="T36" i="2"/>
  <c r="L36" i="2"/>
  <c r="B12" i="3"/>
  <c r="B3" i="3"/>
  <c r="P36" i="2"/>
  <c r="F41" i="3" a="1"/>
  <c r="F15" i="3" a="1"/>
  <c r="F10" i="3" a="1"/>
  <c r="B7" i="3" a="1"/>
  <c r="B34" i="3" a="1"/>
  <c r="F19" i="3" a="1"/>
  <c r="D22" i="3" a="1"/>
  <c r="B45" i="3" a="1"/>
  <c r="D34" i="3" a="1"/>
  <c r="D14" i="3" a="1"/>
  <c r="D49" i="3" a="1"/>
  <c r="B8" i="3" a="1"/>
  <c r="F33" i="3" a="1"/>
  <c r="B13" i="3" a="1"/>
  <c r="D23" i="3" a="1"/>
  <c r="F32" i="3" a="1"/>
  <c r="B49" i="3" a="1"/>
  <c r="B15" i="3" a="1"/>
  <c r="B32" i="3" a="1"/>
  <c r="F43" i="3" a="1"/>
  <c r="B43" i="3" a="1"/>
  <c r="F49" i="3" a="1"/>
  <c r="F40" i="3" a="1"/>
  <c r="D46" i="3" a="1"/>
  <c r="F23" i="3" a="1"/>
  <c r="D7" i="3" a="1"/>
  <c r="F34" i="3" a="1"/>
  <c r="D28" i="3" a="1"/>
  <c r="B9" i="3" a="1"/>
  <c r="B27" i="3" a="1"/>
  <c r="B24" i="3" a="1"/>
  <c r="D55" i="3" a="1"/>
  <c r="F14" i="3" a="1"/>
  <c r="B52" i="3" a="1"/>
  <c r="F56" i="3" a="1"/>
  <c r="F16" i="3" a="1"/>
  <c r="D50" i="3" a="1"/>
  <c r="B42" i="3" a="1"/>
  <c r="D8" i="3" a="1"/>
  <c r="D26" i="3" a="1"/>
  <c r="B5" i="3" a="1"/>
  <c r="F24" i="3" a="1"/>
  <c r="B31" i="3" a="1"/>
  <c r="D43" i="3" a="1"/>
  <c r="B18" i="3" a="1"/>
  <c r="B50" i="3" a="1"/>
  <c r="F11" i="3" a="1"/>
  <c r="D6" i="3" a="1"/>
  <c r="F22" i="3" a="1"/>
  <c r="B25" i="3" a="1"/>
  <c r="D52" i="3" a="1"/>
  <c r="F5" i="3" a="1"/>
  <c r="F20" i="3" a="1"/>
  <c r="F37" i="3" a="1"/>
  <c r="F38" i="3" a="1"/>
  <c r="D31" i="3" a="1"/>
  <c r="D32" i="3" a="1"/>
  <c r="D16" i="3" a="1"/>
  <c r="B16" i="3" a="1"/>
  <c r="B23" i="3" a="1"/>
  <c r="B35" i="3" a="1"/>
  <c r="F25" i="3" a="1"/>
  <c r="F7" i="3" a="1"/>
  <c r="D10" i="3" a="1"/>
  <c r="F47" i="3" a="1"/>
  <c r="F13" i="3" a="1"/>
  <c r="D35" i="3" a="1"/>
  <c r="B51" i="3" a="1"/>
  <c r="F4" i="3" a="1"/>
  <c r="D33" i="3" a="1"/>
  <c r="D37" i="3" a="1"/>
  <c r="D17" i="3" a="1"/>
  <c r="D53" i="3" a="1"/>
  <c r="F51" i="3" a="1"/>
  <c r="D13" i="3" a="1"/>
  <c r="B22" i="3" a="1"/>
  <c r="F52" i="3" a="1"/>
  <c r="B6" i="3" a="1"/>
  <c r="B33" i="3" a="1"/>
  <c r="D24" i="3" a="1"/>
  <c r="B26" i="3" a="1"/>
  <c r="D51" i="3" a="1"/>
  <c r="B54" i="3" a="1"/>
  <c r="B14" i="3" a="1"/>
  <c r="D44" i="3" a="1"/>
  <c r="B40" i="3" a="1"/>
  <c r="D4" i="3" a="1"/>
  <c r="D19" i="3" a="1"/>
  <c r="F29" i="3" a="1"/>
  <c r="D15" i="3" a="1"/>
  <c r="F46" i="3" a="1"/>
  <c r="D25" i="3" a="1"/>
  <c r="B41" i="3" a="1"/>
  <c r="B53" i="3" a="1"/>
  <c r="F31" i="3" a="1"/>
  <c r="F55" i="3" a="1"/>
  <c r="F28" i="3" a="1"/>
  <c r="B36" i="3" a="1"/>
  <c r="D40" i="3" a="1"/>
  <c r="D5" i="3" a="1"/>
  <c r="B17" i="3" a="1"/>
  <c r="F6" i="3" a="1"/>
  <c r="B44" i="3" a="1"/>
  <c r="F42" i="3" a="1"/>
  <c r="D42" i="3" a="1"/>
  <c r="D41" i="3" a="1"/>
  <c r="F50" i="3" a="1"/>
  <c r="E36" i="2"/>
  <c r="C36" i="2"/>
  <c r="D36" i="2"/>
  <c r="D18" i="3" a="1"/>
  <c r="D45" i="3" a="1"/>
  <c r="B55" i="3" a="1"/>
  <c r="F45" i="3" a="1"/>
  <c r="F18" i="3" a="1"/>
  <c r="F27" i="3" a="1"/>
  <c r="D9" i="3" a="1"/>
  <c r="B10" i="3" a="1"/>
  <c r="D54" i="3" a="1"/>
  <c r="D27" i="3" a="1"/>
  <c r="F36" i="3" a="1"/>
  <c r="D36" i="3" a="1"/>
  <c r="B37" i="3" a="1"/>
  <c r="B28" i="3" a="1"/>
  <c r="B19" i="3" a="1"/>
  <c r="B46" i="3" a="1"/>
  <c r="F54" i="3" a="1"/>
  <c r="F9" i="3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<sst xmlns="http://schemas.openxmlformats.org/spreadsheetml/2006/main" count="3360" uniqueCount="211">
  <si>
    <t>Menu Name</t>
  </si>
  <si>
    <t>Your Menu Name</t>
  </si>
  <si>
    <t>Ingredient Nutrient</t>
  </si>
  <si>
    <t>Micronutrients</t>
  </si>
  <si>
    <t>Ingredient1</t>
  </si>
  <si>
    <t>Ingredient2</t>
  </si>
  <si>
    <t>Ingredient3</t>
  </si>
  <si>
    <t>Ingredient4</t>
  </si>
  <si>
    <t>Ingredient5</t>
  </si>
  <si>
    <t>Ingredient6</t>
  </si>
  <si>
    <t>Ingredient7</t>
  </si>
  <si>
    <t>Ingredient8</t>
  </si>
  <si>
    <t>Ingredient9</t>
  </si>
  <si>
    <t>Ingredient10</t>
  </si>
  <si>
    <t>Food</t>
  </si>
  <si>
    <t>Portion</t>
  </si>
  <si>
    <t>Calorie (Kcal)</t>
  </si>
  <si>
    <t>Protein (grams)</t>
  </si>
  <si>
    <t>Sugar  (grams)</t>
  </si>
  <si>
    <t>Fat (grams)</t>
  </si>
  <si>
    <t>Sodium (milligram)</t>
  </si>
  <si>
    <t>Fibre (grams)</t>
  </si>
  <si>
    <t>Saturated Fat (grams)</t>
  </si>
  <si>
    <t>Trans Fat (grams)</t>
  </si>
  <si>
    <t>Zinc (milligram)</t>
  </si>
  <si>
    <t>Manesium (milligram)</t>
  </si>
  <si>
    <t>Potasium (milligram)</t>
  </si>
  <si>
    <t>Menu Ingredients</t>
  </si>
  <si>
    <t>Portion (grams)</t>
  </si>
  <si>
    <t>Zinc (milligrams)</t>
  </si>
  <si>
    <t>Target</t>
  </si>
  <si>
    <t>Total Value</t>
  </si>
  <si>
    <t>WorkSheet Name</t>
  </si>
  <si>
    <t>Ingredients (grams)</t>
  </si>
  <si>
    <t>Ingredient Template</t>
  </si>
  <si>
    <t>Sodium  (milligram)</t>
  </si>
  <si>
    <t>Calcium (milligram)</t>
  </si>
  <si>
    <t>Fibre  (grams)</t>
  </si>
  <si>
    <t xml:space="preserve">Iron  (milligrams) </t>
  </si>
  <si>
    <t xml:space="preserve">Zinc  (milligram) </t>
  </si>
  <si>
    <t xml:space="preserve">Magnesium  (milligram) </t>
  </si>
  <si>
    <t xml:space="preserve">Potasium  (milligram) </t>
  </si>
  <si>
    <t>Total Calorie  (Kcal)</t>
  </si>
  <si>
    <t>Lunch</t>
  </si>
  <si>
    <t>Breakfast</t>
  </si>
  <si>
    <t>Nutrient</t>
  </si>
  <si>
    <t>Your Health Companion</t>
  </si>
  <si>
    <t>Men 56 grams
Women 46 grams</t>
  </si>
  <si>
    <t>Carbohydrate   (grams)</t>
  </si>
  <si>
    <t>Carbohydrate (grams)</t>
  </si>
  <si>
    <t>130 grams</t>
  </si>
  <si>
    <t>25 grams</t>
  </si>
  <si>
    <t>45 - 78 grams</t>
  </si>
  <si>
    <t>&lt; 2000 mg</t>
  </si>
  <si>
    <t>Calcuim  milligram</t>
  </si>
  <si>
    <t>Cholesterol (milligram)</t>
  </si>
  <si>
    <t>300 mg</t>
  </si>
  <si>
    <t>1000 mg</t>
  </si>
  <si>
    <t>Cholesterol  (milligram)</t>
  </si>
  <si>
    <t>Mem 31 grams
Women 25 grams</t>
  </si>
  <si>
    <t>20 grams</t>
  </si>
  <si>
    <t>&lt;= 2.2 grams</t>
  </si>
  <si>
    <t xml:space="preserve">Iron (milligrams) </t>
  </si>
  <si>
    <t>Men 8.7 grams
Women 14.8 grams</t>
  </si>
  <si>
    <t>Men 11 mg
Women 8 mg</t>
  </si>
  <si>
    <t>Men 420 mg
Women 320 mg</t>
  </si>
  <si>
    <t xml:space="preserve">Magnesium (milligram) 
</t>
  </si>
  <si>
    <t>Men 3400 mg - 4700 mg
Women 2600 mg - 4700 mg</t>
  </si>
  <si>
    <t>Iron (milligram)</t>
  </si>
  <si>
    <t>Calcuim (milligram)</t>
  </si>
  <si>
    <t>Name</t>
  </si>
  <si>
    <t>Your Name</t>
  </si>
  <si>
    <t>Measures Converted (Base on Meal)</t>
  </si>
  <si>
    <t>Alan Tang</t>
  </si>
  <si>
    <t>Portions Base on ingredients (grams)</t>
  </si>
  <si>
    <t>Magnesium (milligram)</t>
  </si>
  <si>
    <t>Quaker Multigrain Oat</t>
  </si>
  <si>
    <t>Morning Snack</t>
  </si>
  <si>
    <t>Marie Biscuit</t>
  </si>
  <si>
    <t>Chicken Chops</t>
  </si>
  <si>
    <t>Choy sum Vegetable</t>
  </si>
  <si>
    <t>Rice</t>
  </si>
  <si>
    <t>Afternoon Snack</t>
  </si>
  <si>
    <t>Apple</t>
  </si>
  <si>
    <t>Dinner Demo</t>
  </si>
  <si>
    <t>Night Snack</t>
  </si>
  <si>
    <t>Skimmed Milk</t>
  </si>
  <si>
    <t>Chart</t>
  </si>
  <si>
    <t>Nutients</t>
  </si>
  <si>
    <t>Data</t>
  </si>
  <si>
    <t>Measures
(Base On Ingredients)</t>
  </si>
  <si>
    <t>Diet Target Calories (kcal)</t>
  </si>
  <si>
    <t>Year (yyyy)</t>
  </si>
  <si>
    <t>Month</t>
  </si>
  <si>
    <t>January</t>
  </si>
  <si>
    <t>Client Name</t>
  </si>
  <si>
    <t>Alan Tang Sing Lun</t>
  </si>
  <si>
    <t>Nutritionist</t>
  </si>
  <si>
    <t>Dr Tang</t>
  </si>
  <si>
    <t>Purpose of Assessment</t>
  </si>
  <si>
    <t>Date of Consultation</t>
  </si>
  <si>
    <t>To loose Weight</t>
  </si>
  <si>
    <t>Client Overview</t>
  </si>
  <si>
    <t>46 year old Male</t>
  </si>
  <si>
    <t>Age / Gender</t>
  </si>
  <si>
    <t>Height / Weight / BMI</t>
  </si>
  <si>
    <t>176 / 250lbs / 36.6</t>
  </si>
  <si>
    <t>Medical History</t>
  </si>
  <si>
    <t>High blood pressure  and blood glucose need medication</t>
  </si>
  <si>
    <t>Lifestyle</t>
  </si>
  <si>
    <t>Primary Goals</t>
  </si>
  <si>
    <t>No Exercise and seldom walk</t>
  </si>
  <si>
    <t>To loose weight and increase mobility</t>
  </si>
  <si>
    <t>Nutrient Diagnosis</t>
  </si>
  <si>
    <t>For Charts</t>
  </si>
  <si>
    <t>Comments and Remark</t>
  </si>
  <si>
    <t>For Data Week</t>
  </si>
  <si>
    <t>For Data Day</t>
  </si>
  <si>
    <t>Calories (grams)</t>
  </si>
  <si>
    <t>Carbohydrates (grams)</t>
  </si>
  <si>
    <t>Fats (grams)</t>
  </si>
  <si>
    <t>Fiber (grams)</t>
  </si>
  <si>
    <t>Assesment Report</t>
  </si>
  <si>
    <t>Please Fill In</t>
  </si>
  <si>
    <t>Fat
(9 grams per Kcal)</t>
  </si>
  <si>
    <t>Proteins 
(4 grams per Kcal)</t>
  </si>
  <si>
    <t>Carbohydrates 
(4 grams per Kcal)</t>
  </si>
  <si>
    <t>Vatamin A (micrograms) (grams)</t>
  </si>
  <si>
    <t>Vatamin A (micrograms)</t>
  </si>
  <si>
    <t>Vatamin C  (milligrams) (grams)</t>
  </si>
  <si>
    <t>Vatamin C  (milligrams)</t>
  </si>
  <si>
    <t xml:space="preserve">Vatamin C  (milligrams) </t>
  </si>
  <si>
    <t>Vatamin K  (micrograms) (grams)</t>
  </si>
  <si>
    <t>Vatamin K  (micrograms)</t>
  </si>
  <si>
    <t>Vatamin D  (micrograms) (grams)</t>
  </si>
  <si>
    <t>Vatamin D  (micrograms)</t>
  </si>
  <si>
    <t xml:space="preserve">Vatamin D  (micrograms) </t>
  </si>
  <si>
    <t>Omega-3 (milligrams) (grams)</t>
  </si>
  <si>
    <t>Omega-3 (milligrams)</t>
  </si>
  <si>
    <t>Folic Acid (micrograms) (grams)</t>
  </si>
  <si>
    <t>Folic Acid (micrograms)</t>
  </si>
  <si>
    <t>Supplement Use</t>
  </si>
  <si>
    <t>Current</t>
  </si>
  <si>
    <t>Recommend</t>
  </si>
  <si>
    <t>Calcium + Vatamin D, Vitamin K</t>
  </si>
  <si>
    <t>Omega-3 (EPA/DHA 500–1000 mg/day), Consider magnesium glycinate if symptoms of deficiency persists.</t>
  </si>
  <si>
    <t>Life Style Factors</t>
  </si>
  <si>
    <t>Sleep</t>
  </si>
  <si>
    <t>Hydration</t>
  </si>
  <si>
    <t>Physical Activity</t>
  </si>
  <si>
    <t>Stress</t>
  </si>
  <si>
    <t>6–6.5 hours/night; reports fatigue</t>
  </si>
  <si>
    <t>1.2 L/day (below optimal)</t>
  </si>
  <si>
    <t>Infrequent; mostly walking</t>
  </si>
  <si>
    <t>Moderate; work-related</t>
  </si>
  <si>
    <t>Personalized Recommendations</t>
  </si>
  <si>
    <t>Dietary Adjustments</t>
  </si>
  <si>
    <t>Increase intake of leafy greens, legumes, and whole grain</t>
  </si>
  <si>
    <t>Replace refined carbs with complex sources (e.g., oats, quinoa)</t>
  </si>
  <si>
    <t>Add fatty fish (e.g., salmon, sardines) 2x/week or supplement omega-3</t>
  </si>
  <si>
    <t>Boost fiber with chia seeds, flaxseeds, and vegetables</t>
  </si>
  <si>
    <t>Lifestyle Goals</t>
  </si>
  <si>
    <t>Aim for 7 to 8 hours of sleep</t>
  </si>
  <si>
    <t>Gradually increase physical activity (e.g., 30 min brisk walk daily)</t>
  </si>
  <si>
    <t>Practice mindful eating and hydration tracking</t>
  </si>
  <si>
    <t>Follow-Up Plan</t>
  </si>
  <si>
    <t>Reassess in 4–6 weeks</t>
  </si>
  <si>
    <t>Monitor energy levels, digestion, and adherence</t>
  </si>
  <si>
    <t>Optional: Repeat labs (Vitamin D, ferritin) in 3 months</t>
  </si>
  <si>
    <t>Nutrient Total Template Daily</t>
  </si>
  <si>
    <t>February Meal Record</t>
  </si>
  <si>
    <t>March Meal Record</t>
  </si>
  <si>
    <t>April Meal Record</t>
  </si>
  <si>
    <t>May Meal Record</t>
  </si>
  <si>
    <t>June Meal Record</t>
  </si>
  <si>
    <t>July Meal Record</t>
  </si>
  <si>
    <t>August Meal Record</t>
  </si>
  <si>
    <t>November Meal Record</t>
  </si>
  <si>
    <t>October Meal Record</t>
  </si>
  <si>
    <t>December Meal Record</t>
  </si>
  <si>
    <t>January Meal Record Demo</t>
  </si>
  <si>
    <t>January Meal Record</t>
  </si>
  <si>
    <t>Breakfast Demo</t>
  </si>
  <si>
    <t>Morning Snack Demo</t>
  </si>
  <si>
    <t>Lunch Demo</t>
  </si>
  <si>
    <t>Afternoon Snack Demo</t>
  </si>
  <si>
    <t>Night Snack Demo</t>
  </si>
  <si>
    <t>Month (mmmm)</t>
  </si>
  <si>
    <t>For Data Month</t>
  </si>
  <si>
    <t>Your Total Intake (Daily\Weekly\Monthly)</t>
  </si>
  <si>
    <r>
      <t xml:space="preserve">WorkSheet Name
</t>
    </r>
    <r>
      <rPr>
        <b/>
        <sz val="11"/>
        <color theme="0"/>
        <rFont val="Arial"/>
        <family val="2"/>
      </rPr>
      <t>(For Charts Change to daily/weekly/monthly)</t>
    </r>
  </si>
  <si>
    <t>1800 kcal</t>
  </si>
  <si>
    <t>Quaker Multigrain Oat (grams)</t>
  </si>
  <si>
    <t>Marie Biscuit (grams)</t>
  </si>
  <si>
    <t>Chicken Chops (grams)</t>
  </si>
  <si>
    <t>Choy sum Vegetable (grams)</t>
  </si>
  <si>
    <t>Rice (grams)</t>
  </si>
  <si>
    <t>Apple (grams)</t>
  </si>
  <si>
    <t>Skimmed Milk (milligrrams)</t>
  </si>
  <si>
    <t>Nutrient Total Daily Demo</t>
  </si>
  <si>
    <t>Day</t>
  </si>
  <si>
    <t>Nutrient Total Weekly Demo</t>
  </si>
  <si>
    <t>Nutrient Total Monthly Demo</t>
  </si>
  <si>
    <t>Vatamin A - 42, Vatamin C - 6.3, Tiamin - 0, Riboflavin - 0, Niacin - 0, Folic Acid - 0</t>
  </si>
  <si>
    <t>Macronutrient Distribution Chart</t>
  </si>
  <si>
    <t>For Week:
Date Observe For Select Week (d/m/yyyy)
For First Week of Month 7/1/yyyy
For Second Week of Month 14/1/yyyy
For Third Week of Month 21/1/yyyy
For Last Week 28/1/yyyy
For Month:
Date Observe For Select Month (d/m/yyyy)
For First Month 1/1/yyyy Day must be 1
For Second Month 1/2/yyyy Day must be 1</t>
  </si>
  <si>
    <t>For Day (d/m/yyyy)
For Week:
Date Observe For Select Week (d/m/yyyy)
For First Week of Month 7/1/yyyy
For Second Week of Month 14/1/yyyy
For Third Week of Month 21/1/yyyy
For Last Week 28/1/yyyy
For Month:
Date Observe For Select Month (d/m/yyyy)
For First Month 1/1/yyyy Day must be 1
For Second Month 1/2/yyyy Day must be 1</t>
  </si>
  <si>
    <t>Date (d/m/yyyy)</t>
  </si>
  <si>
    <t>Others Nutrients</t>
  </si>
  <si>
    <t>please select 
(day, week, month) from the drop down list and change the worksheet acordingly.</t>
  </si>
  <si>
    <t>For Select Day (d/m/yyyy)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</si>
</sst>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£&quot;* #,##0.00_-;\-&quot;£&quot;* #,##0.00_-;_-&quot;£&quot;* &quot;-&quot;??_-;_-@_-"/>
    <numFmt numFmtId="165" formatCode="0.00_ "/>
    <numFmt numFmtId="166" formatCode="dd/mm/yyyy"/>
  </numFmts>
  <fonts count="30" x14ac:knownFonts="1">
    <font>
      <sz val="11"/>
      <color theme="1"/>
      <name val="Calibri"/>
      <charset val="1"/>
    </font>
    <font>
      <sz val="12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2"/>
      <color theme="1"/>
      <name val="Arial"/>
      <family val="2"/>
      <charset val="1"/>
    </font>
    <font>
      <sz val="100"/>
      <color theme="0"/>
      <name val="Arial Black"/>
      <family val="2"/>
    </font>
    <font>
      <i/>
      <sz val="36"/>
      <color theme="0"/>
      <name val="Arial Black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26"/>
      <color theme="0"/>
      <name val="Arial"/>
      <family val="2"/>
    </font>
    <font>
      <sz val="26"/>
      <color theme="1"/>
      <name val="Arial"/>
      <family val="2"/>
    </font>
    <font>
      <b/>
      <sz val="14"/>
      <color theme="0"/>
      <name val="Arial"/>
      <family val="2"/>
    </font>
    <font>
      <sz val="14"/>
      <color theme="1"/>
      <name val="Arial"/>
      <family val="2"/>
    </font>
    <font>
      <b/>
      <sz val="12"/>
      <color theme="0"/>
      <name val="Arial"/>
      <family val="2"/>
    </font>
    <font>
      <b/>
      <sz val="26"/>
      <color theme="1"/>
      <name val="Arial"/>
      <family val="2"/>
    </font>
    <font>
      <b/>
      <sz val="18"/>
      <color theme="1"/>
      <name val="Arial"/>
      <family val="2"/>
    </font>
    <font>
      <b/>
      <sz val="20"/>
      <color theme="0"/>
      <name val="Arial"/>
      <family val="2"/>
    </font>
    <font>
      <sz val="14"/>
      <color theme="0"/>
      <name val="Arial"/>
      <family val="2"/>
    </font>
    <font>
      <b/>
      <sz val="14"/>
      <color theme="1"/>
      <name val="Arial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4"/>
      <color rgb="FFFF0000"/>
      <name val="Arial"/>
      <family val="2"/>
    </font>
    <font>
      <sz val="20"/>
      <color theme="1"/>
      <name val="Arial"/>
      <family val="2"/>
    </font>
    <font>
      <b/>
      <sz val="18"/>
      <color theme="0"/>
      <name val="Arial"/>
      <family val="2"/>
    </font>
    <font>
      <sz val="18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Calibri"/>
      <family val="2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sz val="22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rgb="FF0066CC"/>
      </patternFill>
    </fill>
    <fill>
      <patternFill patternType="solid">
        <fgColor rgb="FF00B0F0"/>
        <bgColor rgb="FF33CCCC"/>
      </patternFill>
    </fill>
    <fill>
      <patternFill patternType="solid">
        <fgColor rgb="FFFF0000"/>
        <bgColor rgb="FF993300"/>
      </patternFill>
    </fill>
    <fill>
      <patternFill patternType="solid">
        <fgColor theme="4" tint="0.39948728904080327"/>
        <bgColor rgb="FFC0C0C0"/>
      </patternFill>
    </fill>
    <fill>
      <patternFill patternType="solid">
        <fgColor theme="5" tint="0.39948728904080327"/>
        <bgColor rgb="FFFF99CC"/>
      </patternFill>
    </fill>
    <fill>
      <patternFill patternType="solid">
        <fgColor theme="5" tint="0.79979857783745845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rgb="FF9933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164" fontId="28" fillId="0" borderId="0" applyFont="0" applyFill="0" applyBorder="0" applyAlignment="0" applyProtection="0"/>
  </cellStyleXfs>
  <cellXfs count="154">
    <xf numFmtId="0" fontId="0" fillId="0" borderId="0" xfId="0"/>
    <xf numFmtId="0" fontId="1" fillId="0" borderId="0" xfId="0" applyFont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 wrapText="1"/>
    </xf>
    <xf numFmtId="165" fontId="2" fillId="5" borderId="2" xfId="0" applyNumberFormat="1" applyFont="1" applyFill="1" applyBorder="1" applyAlignment="1">
      <alignment horizontal="right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9" borderId="2" xfId="0" applyFont="1" applyFill="1" applyBorder="1" applyAlignment="1">
      <alignment vertical="center" wrapText="1"/>
    </xf>
    <xf numFmtId="0" fontId="6" fillId="0" borderId="2" xfId="0" applyFont="1" applyBorder="1" applyAlignment="1">
      <alignment horizontal="center" vertical="center"/>
    </xf>
    <xf numFmtId="0" fontId="7" fillId="0" borderId="0" xfId="0" applyFont="1"/>
    <xf numFmtId="0" fontId="7" fillId="0" borderId="2" xfId="0" applyFont="1" applyBorder="1" applyAlignment="1">
      <alignment horizontal="center"/>
    </xf>
    <xf numFmtId="0" fontId="12" fillId="10" borderId="2" xfId="0" applyFont="1" applyFill="1" applyBorder="1" applyAlignment="1">
      <alignment horizontal="center"/>
    </xf>
    <xf numFmtId="0" fontId="8" fillId="10" borderId="2" xfId="0" applyFont="1" applyFill="1" applyBorder="1"/>
    <xf numFmtId="0" fontId="2" fillId="2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0" fillId="3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/>
    </xf>
    <xf numFmtId="165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165" fontId="11" fillId="0" borderId="4" xfId="0" applyNumberFormat="1" applyFont="1" applyBorder="1" applyAlignment="1">
      <alignment horizontal="center" vertical="center"/>
    </xf>
    <xf numFmtId="165" fontId="11" fillId="0" borderId="3" xfId="0" applyNumberFormat="1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10" fillId="2" borderId="3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vertical="center"/>
    </xf>
    <xf numFmtId="165" fontId="7" fillId="0" borderId="0" xfId="0" applyNumberFormat="1" applyFont="1" applyAlignment="1">
      <alignment vertical="center"/>
    </xf>
    <xf numFmtId="0" fontId="18" fillId="4" borderId="5" xfId="0" applyFont="1" applyFill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9" fillId="4" borderId="5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 wrapText="1"/>
    </xf>
    <xf numFmtId="0" fontId="19" fillId="4" borderId="7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65" fontId="11" fillId="0" borderId="6" xfId="0" applyNumberFormat="1" applyFont="1" applyBorder="1" applyAlignment="1">
      <alignment horizontal="center" vertical="center"/>
    </xf>
    <xf numFmtId="165" fontId="11" fillId="0" borderId="5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1" fillId="0" borderId="0" xfId="0" applyFont="1"/>
    <xf numFmtId="165" fontId="11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0" fontId="12" fillId="2" borderId="3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4" borderId="2" xfId="0" applyFont="1" applyFill="1" applyBorder="1" applyAlignment="1">
      <alignment vertical="center" wrapText="1"/>
    </xf>
    <xf numFmtId="2" fontId="12" fillId="5" borderId="2" xfId="0" applyNumberFormat="1" applyFont="1" applyFill="1" applyBorder="1" applyAlignment="1">
      <alignment horizontal="right" vertical="center" wrapText="1"/>
    </xf>
    <xf numFmtId="165" fontId="12" fillId="5" borderId="2" xfId="0" applyNumberFormat="1" applyFont="1" applyFill="1" applyBorder="1" applyAlignment="1">
      <alignment horizontal="right" vertical="center" wrapText="1"/>
    </xf>
    <xf numFmtId="0" fontId="12" fillId="9" borderId="2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22" fillId="10" borderId="2" xfId="0" applyFont="1" applyFill="1" applyBorder="1" applyAlignment="1">
      <alignment vertical="center"/>
    </xf>
    <xf numFmtId="0" fontId="23" fillId="0" borderId="2" xfId="0" applyFont="1" applyBorder="1" applyAlignment="1">
      <alignment horizontal="center" vertical="center"/>
    </xf>
    <xf numFmtId="0" fontId="22" fillId="10" borderId="2" xfId="0" applyFont="1" applyFill="1" applyBorder="1" applyAlignment="1">
      <alignment horizontal="center" vertical="center"/>
    </xf>
    <xf numFmtId="14" fontId="7" fillId="0" borderId="0" xfId="0" applyNumberFormat="1" applyFont="1"/>
    <xf numFmtId="0" fontId="12" fillId="2" borderId="2" xfId="0" applyFont="1" applyFill="1" applyBorder="1" applyAlignment="1">
      <alignment horizontal="center" vertical="center" wrapText="1"/>
    </xf>
    <xf numFmtId="0" fontId="24" fillId="0" borderId="2" xfId="0" applyFont="1" applyBorder="1"/>
    <xf numFmtId="0" fontId="26" fillId="0" borderId="2" xfId="0" applyFont="1" applyBorder="1"/>
    <xf numFmtId="0" fontId="7" fillId="0" borderId="2" xfId="0" applyFont="1" applyBorder="1"/>
    <xf numFmtId="0" fontId="25" fillId="0" borderId="2" xfId="0" applyFont="1" applyBorder="1"/>
    <xf numFmtId="14" fontId="24" fillId="12" borderId="2" xfId="0" applyNumberFormat="1" applyFont="1" applyFill="1" applyBorder="1"/>
    <xf numFmtId="0" fontId="7" fillId="0" borderId="2" xfId="0" applyFont="1" applyBorder="1" applyAlignment="1">
      <alignment horizontal="center" wrapText="1"/>
    </xf>
    <xf numFmtId="0" fontId="25" fillId="0" borderId="2" xfId="0" applyFont="1" applyBorder="1" applyAlignment="1">
      <alignment horizontal="left" vertical="center"/>
    </xf>
    <xf numFmtId="2" fontId="6" fillId="0" borderId="2" xfId="0" applyNumberFormat="1" applyFont="1" applyBorder="1" applyAlignment="1">
      <alignment horizontal="center"/>
    </xf>
    <xf numFmtId="2" fontId="6" fillId="0" borderId="2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left" vertical="center"/>
    </xf>
    <xf numFmtId="14" fontId="6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wrapText="1"/>
    </xf>
    <xf numFmtId="2" fontId="6" fillId="0" borderId="2" xfId="0" applyNumberFormat="1" applyFont="1" applyBorder="1" applyAlignment="1">
      <alignment vertical="center"/>
    </xf>
    <xf numFmtId="2" fontId="7" fillId="0" borderId="2" xfId="0" applyNumberFormat="1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2" xfId="0" applyFont="1" applyBorder="1" applyAlignment="1">
      <alignment horizontal="left" vertical="center"/>
    </xf>
    <xf numFmtId="0" fontId="10" fillId="2" borderId="2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 vertical="top"/>
    </xf>
    <xf numFmtId="0" fontId="15" fillId="2" borderId="2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14" fontId="2" fillId="5" borderId="2" xfId="0" applyNumberFormat="1" applyFont="1" applyFill="1" applyBorder="1" applyAlignment="1">
      <alignment horizontal="left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right" vertical="center" wrapText="1"/>
    </xf>
    <xf numFmtId="0" fontId="2" fillId="4" borderId="9" xfId="0" applyFont="1" applyFill="1" applyBorder="1" applyAlignment="1">
      <alignment horizontal="right" vertical="center" wrapText="1"/>
    </xf>
    <xf numFmtId="14" fontId="2" fillId="2" borderId="8" xfId="0" applyNumberFormat="1" applyFont="1" applyFill="1" applyBorder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/>
    </xf>
    <xf numFmtId="166" fontId="12" fillId="2" borderId="10" xfId="0" applyNumberFormat="1" applyFont="1" applyFill="1" applyBorder="1" applyAlignment="1">
      <alignment horizontal="left" vertical="center" wrapText="1"/>
    </xf>
    <xf numFmtId="14" fontId="12" fillId="2" borderId="1" xfId="0" applyNumberFormat="1" applyFont="1" applyFill="1" applyBorder="1" applyAlignment="1">
      <alignment horizontal="left" vertical="center" wrapText="1"/>
    </xf>
    <xf numFmtId="0" fontId="12" fillId="4" borderId="6" xfId="0" applyFont="1" applyFill="1" applyBorder="1" applyAlignment="1">
      <alignment horizontal="right" vertical="center" wrapText="1"/>
    </xf>
    <xf numFmtId="0" fontId="12" fillId="4" borderId="9" xfId="0" applyFont="1" applyFill="1" applyBorder="1" applyAlignment="1">
      <alignment horizontal="right" vertical="center" wrapText="1"/>
    </xf>
    <xf numFmtId="0" fontId="23" fillId="0" borderId="8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7" xfId="0" applyFont="1" applyBorder="1" applyAlignment="1">
      <alignment horizontal="left" vertical="center"/>
    </xf>
    <xf numFmtId="14" fontId="6" fillId="0" borderId="2" xfId="0" applyNumberFormat="1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25" fillId="0" borderId="6" xfId="0" applyNumberFormat="1" applyFont="1" applyBorder="1" applyAlignment="1">
      <alignment horizontal="left" vertical="center" wrapText="1"/>
    </xf>
    <xf numFmtId="14" fontId="25" fillId="0" borderId="9" xfId="0" applyNumberFormat="1" applyFont="1" applyBorder="1" applyAlignment="1">
      <alignment horizontal="left" vertical="center" wrapText="1"/>
    </xf>
    <xf numFmtId="14" fontId="25" fillId="0" borderId="5" xfId="0" applyNumberFormat="1" applyFont="1" applyBorder="1" applyAlignment="1">
      <alignment horizontal="left" vertical="center" wrapText="1"/>
    </xf>
    <xf numFmtId="14" fontId="6" fillId="0" borderId="6" xfId="0" applyNumberFormat="1" applyFont="1" applyBorder="1" applyAlignment="1">
      <alignment horizontal="center" vertical="center"/>
    </xf>
    <xf numFmtId="14" fontId="24" fillId="12" borderId="6" xfId="0" applyNumberFormat="1" applyFont="1" applyFill="1" applyBorder="1" applyAlignment="1">
      <alignment horizontal="center"/>
    </xf>
    <xf numFmtId="14" fontId="24" fillId="12" borderId="9" xfId="0" applyNumberFormat="1" applyFont="1" applyFill="1" applyBorder="1" applyAlignment="1">
      <alignment horizontal="center"/>
    </xf>
    <xf numFmtId="14" fontId="24" fillId="12" borderId="5" xfId="0" applyNumberFormat="1" applyFont="1" applyFill="1" applyBorder="1" applyAlignment="1">
      <alignment horizontal="center"/>
    </xf>
    <xf numFmtId="14" fontId="6" fillId="0" borderId="2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164" fontId="17" fillId="0" borderId="2" xfId="1" applyFont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0" fontId="17" fillId="12" borderId="9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/>
    </xf>
    <xf numFmtId="14" fontId="6" fillId="0" borderId="2" xfId="0" applyNumberFormat="1" applyFont="1" applyBorder="1" applyAlignment="1">
      <alignment horizontal="left"/>
    </xf>
    <xf numFmtId="0" fontId="17" fillId="12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24" fillId="0" borderId="2" xfId="0" applyFont="1" applyBorder="1" applyAlignment="1">
      <alignment horizontal="center" vertical="center"/>
    </xf>
    <xf numFmtId="0" fontId="17" fillId="12" borderId="6" xfId="0" applyFont="1" applyFill="1" applyBorder="1" applyAlignment="1">
      <alignment horizontal="center"/>
    </xf>
    <xf numFmtId="0" fontId="17" fillId="12" borderId="9" xfId="0" applyFont="1" applyFill="1" applyBorder="1" applyAlignment="1">
      <alignment horizontal="center"/>
    </xf>
    <xf numFmtId="0" fontId="17" fillId="12" borderId="5" xfId="0" applyFont="1" applyFill="1" applyBorder="1" applyAlignment="1">
      <alignment horizontal="center"/>
    </xf>
    <xf numFmtId="0" fontId="7" fillId="0" borderId="6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13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25" fillId="0" borderId="0" xfId="0" applyFont="1"/>
    <xf numFmtId="0" fontId="6" fillId="0" borderId="5" xfId="0" applyNumberFormat="1" applyFont="1" applyBorder="1" applyAlignment="1">
      <alignment horizontal="center" vertical="center"/>
    </xf>
    <xf numFmtId="14" fontId="29" fillId="0" borderId="2" xfId="0" applyNumberFormat="1" applyFont="1" applyBorder="1" applyAlignment="1">
      <alignment horizontal="center" vertical="center" wrapText="1"/>
    </xf>
    <xf numFmtId="0" fontId="29" fillId="0" borderId="2" xfId="0" applyNumberFormat="1" applyFont="1" applyBorder="1" applyAlignment="1">
      <alignment horizontal="center" vertical="center"/>
    </xf>
    <xf numFmtId="14" fontId="11" fillId="0" borderId="9" xfId="0" applyNumberFormat="1" applyFont="1" applyBorder="1" applyAlignment="1">
      <alignment horizontal="center" vertical="center" wrapText="1"/>
    </xf>
    <xf numFmtId="14" fontId="11" fillId="0" borderId="5" xfId="0" applyNumberFormat="1" applyFont="1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BE5D6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DC3E6"/>
      <rgbColor rgb="FFFF99CC"/>
      <rgbColor rgb="FFCC99FF"/>
      <rgbColor rgb="FFF4B183"/>
      <rgbColor rgb="FF2E75B6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'Assesment Report and Charts'!$B$27</c:f>
              <c:strCache>
                <c:ptCount val="1"/>
                <c:pt idx="0">
                  <c:v>Macronutrient Distribution Chart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55-4E00-8470-7220B1A6C6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55-4E00-8470-7220B1A6C6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55-4E00-8470-7220B1A6C6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755-4E00-8470-7220B1A6C691}"/>
              </c:ext>
            </c:extLst>
          </c:dPt>
          <c:cat>
            <c:strRef>
              <c:f>'Assesment Report and Charts'!$A$33:$A$36</c:f>
              <c:strCache>
                <c:ptCount val="4"/>
                <c:pt idx="0">
                  <c:v>Carbohydrates 
(4 grams per Kcal)</c:v>
                </c:pt>
                <c:pt idx="1">
                  <c:v>Proteins 
(4 grams per Kcal)</c:v>
                </c:pt>
                <c:pt idx="2">
                  <c:v>Fat
(9 grams per Kcal)</c:v>
                </c:pt>
                <c:pt idx="3">
                  <c:v>Others Nutrients</c:v>
                </c:pt>
              </c:strCache>
            </c:strRef>
          </c:cat>
          <c:val>
            <c:numRef>
              <c:f>'Assesment Report and Charts'!$B$33:$B$36</c:f>
              <c:numCache>
                <c:formatCode>0.00</c:formatCode>
                <c:ptCount val="4"/>
                <c:pt idx="0">
                  <c:v>80.474625000000003</c:v>
                </c:pt>
                <c:pt idx="1">
                  <c:v>18.125</c:v>
                </c:pt>
                <c:pt idx="2">
                  <c:v>35.766500000000001</c:v>
                </c:pt>
                <c:pt idx="3">
                  <c:v>1665.633875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B7-4BA9-99F2-896EBDE5A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978646</xdr:colOff>
      <xdr:row>0</xdr:row>
      <xdr:rowOff>52295</xdr:rowOff>
    </xdr:from>
    <xdr:to>
      <xdr:col>10</xdr:col>
      <xdr:colOff>1001058</xdr:colOff>
      <xdr:row>0</xdr:row>
      <xdr:rowOff>545354</xdr:rowOff>
    </xdr:to>
    <xdr:sp macro="[0]!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EDF44A-E316-8B95-AF4A-B25ED192AFBD}"/>
            </a:ext>
          </a:extLst>
        </xdr:cNvPr>
        <xdr:cNvSpPr/>
      </xdr:nvSpPr>
      <xdr:spPr>
        <a:xfrm>
          <a:off x="11691470" y="52295"/>
          <a:ext cx="1098176" cy="49305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Complete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1225550</xdr:colOff>
      <xdr:row>0</xdr:row>
      <xdr:rowOff>57151</xdr:rowOff>
    </xdr:from>
    <xdr:to>
      <xdr:col>5</xdr:col>
      <xdr:colOff>725394</xdr:colOff>
      <xdr:row>0</xdr:row>
      <xdr:rowOff>546101</xdr:rowOff>
    </xdr:to>
    <xdr:sp macro="[0]!CalculateTotalNutrientD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C8F9A7D-2565-2481-2B2F-1B98554AF466}"/>
            </a:ext>
          </a:extLst>
        </xdr:cNvPr>
        <xdr:cNvSpPr/>
      </xdr:nvSpPr>
      <xdr:spPr>
        <a:xfrm>
          <a:off x="7689850" y="57151"/>
          <a:ext cx="1290544" cy="4889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 Meal Record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44450</xdr:colOff>
      <xdr:row>0</xdr:row>
      <xdr:rowOff>69850</xdr:rowOff>
    </xdr:from>
    <xdr:to>
      <xdr:col>4</xdr:col>
      <xdr:colOff>1130300</xdr:colOff>
      <xdr:row>0</xdr:row>
      <xdr:rowOff>539750</xdr:rowOff>
    </xdr:to>
    <xdr:sp macro="[0]!DatesApply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AA4E9B3-6961-0B13-A26F-64D3E9F07636}"/>
            </a:ext>
          </a:extLst>
        </xdr:cNvPr>
        <xdr:cNvSpPr/>
      </xdr:nvSpPr>
      <xdr:spPr>
        <a:xfrm>
          <a:off x="6508750" y="69850"/>
          <a:ext cx="1085850" cy="4699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984250</xdr:colOff>
      <xdr:row>0</xdr:row>
      <xdr:rowOff>77321</xdr:rowOff>
    </xdr:from>
    <xdr:to>
      <xdr:col>5</xdr:col>
      <xdr:colOff>712694</xdr:colOff>
      <xdr:row>0</xdr:row>
      <xdr:rowOff>590550</xdr:rowOff>
    </xdr:to>
    <xdr:sp macro="[0]!CalculateTotalNutrientWee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02964A4-EE8E-4E6E-991B-825EDCC6AEB6}"/>
            </a:ext>
          </a:extLst>
        </xdr:cNvPr>
        <xdr:cNvSpPr/>
      </xdr:nvSpPr>
      <xdr:spPr>
        <a:xfrm>
          <a:off x="7486650" y="77321"/>
          <a:ext cx="1519144" cy="51322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</a:t>
          </a:r>
          <a:r>
            <a:rPr lang="en-GB" sz="1100" baseline="0"/>
            <a:t> Nutrient Daily Total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146050</xdr:colOff>
      <xdr:row>0</xdr:row>
      <xdr:rowOff>50800</xdr:rowOff>
    </xdr:from>
    <xdr:to>
      <xdr:col>4</xdr:col>
      <xdr:colOff>901700</xdr:colOff>
      <xdr:row>0</xdr:row>
      <xdr:rowOff>584200</xdr:rowOff>
    </xdr:to>
    <xdr:sp macro="[0]!DatesApplyWee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7FB1EF6-B049-48DE-9013-CBF8F35F5823}"/>
            </a:ext>
          </a:extLst>
        </xdr:cNvPr>
        <xdr:cNvSpPr/>
      </xdr:nvSpPr>
      <xdr:spPr>
        <a:xfrm>
          <a:off x="6648450" y="50800"/>
          <a:ext cx="755650" cy="533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1289050</xdr:colOff>
      <xdr:row>0</xdr:row>
      <xdr:rowOff>77321</xdr:rowOff>
    </xdr:from>
    <xdr:to>
      <xdr:col>5</xdr:col>
      <xdr:colOff>712694</xdr:colOff>
      <xdr:row>0</xdr:row>
      <xdr:rowOff>590550</xdr:rowOff>
    </xdr:to>
    <xdr:sp macro="[0]!CalculateTotalNutrientMont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784926-99F9-4753-9B93-1EFF05A55186}"/>
            </a:ext>
          </a:extLst>
        </xdr:cNvPr>
        <xdr:cNvSpPr/>
      </xdr:nvSpPr>
      <xdr:spPr>
        <a:xfrm>
          <a:off x="7753350" y="77321"/>
          <a:ext cx="1214344" cy="51322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</a:t>
          </a:r>
          <a:r>
            <a:rPr lang="en-GB" sz="1100" baseline="0"/>
            <a:t> Meal Record</a:t>
          </a:r>
        </a:p>
        <a:p>
          <a:pPr algn="ctr"/>
          <a:endParaRPr lang="en-GB" sz="1100" baseline="0"/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146050</xdr:colOff>
      <xdr:row>0</xdr:row>
      <xdr:rowOff>50800</xdr:rowOff>
    </xdr:from>
    <xdr:to>
      <xdr:col>4</xdr:col>
      <xdr:colOff>1092200</xdr:colOff>
      <xdr:row>0</xdr:row>
      <xdr:rowOff>584200</xdr:rowOff>
    </xdr:to>
    <xdr:sp macro="[0]!DatesApplyMont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6AF4A6-B245-4888-A5C6-A83D64EF6F5D}"/>
            </a:ext>
          </a:extLst>
        </xdr:cNvPr>
        <xdr:cNvSpPr/>
      </xdr:nvSpPr>
      <xdr:spPr>
        <a:xfrm>
          <a:off x="6610350" y="50800"/>
          <a:ext cx="946150" cy="533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978646</xdr:colOff>
      <xdr:row>0</xdr:row>
      <xdr:rowOff>52295</xdr:rowOff>
    </xdr:from>
    <xdr:to>
      <xdr:col>10</xdr:col>
      <xdr:colOff>1001058</xdr:colOff>
      <xdr:row>0</xdr:row>
      <xdr:rowOff>545354</xdr:rowOff>
    </xdr:to>
    <xdr:sp macro="[0]!Comple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614F42-AAE1-4046-A2B2-1ADCDE10DE6B}"/>
            </a:ext>
          </a:extLst>
        </xdr:cNvPr>
        <xdr:cNvSpPr/>
      </xdr:nvSpPr>
      <xdr:spPr>
        <a:xfrm>
          <a:off x="11856196" y="52295"/>
          <a:ext cx="1114612" cy="49305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Complete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1263650</xdr:colOff>
      <xdr:row>0</xdr:row>
      <xdr:rowOff>70971</xdr:rowOff>
    </xdr:from>
    <xdr:to>
      <xdr:col>5</xdr:col>
      <xdr:colOff>731744</xdr:colOff>
      <xdr:row>0</xdr:row>
      <xdr:rowOff>565150</xdr:rowOff>
    </xdr:to>
    <xdr:sp macro="[0]!CalculateTotalNutrient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FB2D7EA-BAF3-475D-89FD-71D260B752A2}"/>
            </a:ext>
          </a:extLst>
        </xdr:cNvPr>
        <xdr:cNvSpPr/>
      </xdr:nvSpPr>
      <xdr:spPr>
        <a:xfrm>
          <a:off x="7727950" y="70971"/>
          <a:ext cx="1258794" cy="49417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 Meal</a:t>
          </a:r>
          <a:r>
            <a:rPr lang="en-GB" sz="1100" baseline="0"/>
            <a:t> Record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44450</xdr:colOff>
      <xdr:row>0</xdr:row>
      <xdr:rowOff>57150</xdr:rowOff>
    </xdr:from>
    <xdr:to>
      <xdr:col>4</xdr:col>
      <xdr:colOff>1193800</xdr:colOff>
      <xdr:row>0</xdr:row>
      <xdr:rowOff>558800</xdr:rowOff>
    </xdr:to>
    <xdr:sp macro="[0]!DatesApplyDa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247FC9D-1181-49A6-9882-2B32123E269F}"/>
            </a:ext>
          </a:extLst>
        </xdr:cNvPr>
        <xdr:cNvSpPr/>
      </xdr:nvSpPr>
      <xdr:spPr>
        <a:xfrm>
          <a:off x="6508750" y="57150"/>
          <a:ext cx="1149350" cy="5016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984250</xdr:colOff>
      <xdr:row>0</xdr:row>
      <xdr:rowOff>77321</xdr:rowOff>
    </xdr:from>
    <xdr:to>
      <xdr:col>5</xdr:col>
      <xdr:colOff>712694</xdr:colOff>
      <xdr:row>0</xdr:row>
      <xdr:rowOff>590550</xdr:rowOff>
    </xdr:to>
    <xdr:sp macro="[0]!CalculateTotalNutrientWee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E56D935-CF02-B442-9FF2-1F288B896C15}"/>
            </a:ext>
          </a:extLst>
        </xdr:cNvPr>
        <xdr:cNvSpPr/>
      </xdr:nvSpPr>
      <xdr:spPr>
        <a:xfrm>
          <a:off x="8083550" y="77321"/>
          <a:ext cx="1684244" cy="51322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</a:t>
          </a:r>
          <a:r>
            <a:rPr lang="en-GB" sz="1100" baseline="0"/>
            <a:t> Nutrient Daily Total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146050</xdr:colOff>
      <xdr:row>0</xdr:row>
      <xdr:rowOff>50800</xdr:rowOff>
    </xdr:from>
    <xdr:to>
      <xdr:col>4</xdr:col>
      <xdr:colOff>901700</xdr:colOff>
      <xdr:row>0</xdr:row>
      <xdr:rowOff>584200</xdr:rowOff>
    </xdr:to>
    <xdr:sp macro="[0]!DatesApplyWee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F4361C-CF9E-AA4C-BDD0-A6E01D75775B}"/>
            </a:ext>
          </a:extLst>
        </xdr:cNvPr>
        <xdr:cNvSpPr/>
      </xdr:nvSpPr>
      <xdr:spPr>
        <a:xfrm>
          <a:off x="7245350" y="50800"/>
          <a:ext cx="755650" cy="533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1289050</xdr:colOff>
      <xdr:row>0</xdr:row>
      <xdr:rowOff>77321</xdr:rowOff>
    </xdr:from>
    <xdr:to>
      <xdr:col>5</xdr:col>
      <xdr:colOff>712694</xdr:colOff>
      <xdr:row>0</xdr:row>
      <xdr:rowOff>590550</xdr:rowOff>
    </xdr:to>
    <xdr:sp macro="[0]!CalculateTotalNutrientMont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150A99-F225-F74C-BC10-111CF6E9D18B}"/>
            </a:ext>
          </a:extLst>
        </xdr:cNvPr>
        <xdr:cNvSpPr/>
      </xdr:nvSpPr>
      <xdr:spPr>
        <a:xfrm>
          <a:off x="8350250" y="77321"/>
          <a:ext cx="1379444" cy="51322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</a:t>
          </a:r>
          <a:r>
            <a:rPr lang="en-GB" sz="1100" baseline="0"/>
            <a:t> Meal Record</a:t>
          </a:r>
        </a:p>
        <a:p>
          <a:pPr algn="ctr"/>
          <a:endParaRPr lang="en-GB" sz="1100" baseline="0"/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146050</xdr:colOff>
      <xdr:row>0</xdr:row>
      <xdr:rowOff>50800</xdr:rowOff>
    </xdr:from>
    <xdr:to>
      <xdr:col>4</xdr:col>
      <xdr:colOff>1092200</xdr:colOff>
      <xdr:row>0</xdr:row>
      <xdr:rowOff>584200</xdr:rowOff>
    </xdr:to>
    <xdr:sp macro="[0]!DatesApplyMont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B5FFFA-1754-4D40-A1E4-86751D60F1DD}"/>
            </a:ext>
          </a:extLst>
        </xdr:cNvPr>
        <xdr:cNvSpPr/>
      </xdr:nvSpPr>
      <xdr:spPr>
        <a:xfrm>
          <a:off x="7207250" y="50800"/>
          <a:ext cx="946150" cy="533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158750</xdr:colOff>
      <xdr:row>28</xdr:row>
      <xdr:rowOff>419100</xdr:rowOff>
    </xdr:from>
    <xdr:to>
      <xdr:col>8</xdr:col>
      <xdr:colOff>431800</xdr:colOff>
      <xdr:row>28</xdr:row>
      <xdr:rowOff>812800</xdr:rowOff>
    </xdr:to>
    <xdr:sp macro="[0]!MacronutrientD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3A2AAFE-09E0-2CC7-F37A-1155195A3EF0}"/>
            </a:ext>
          </a:extLst>
        </xdr:cNvPr>
        <xdr:cNvSpPr/>
      </xdr:nvSpPr>
      <xdr:spPr>
        <a:xfrm>
          <a:off x="9099550" y="7785100"/>
          <a:ext cx="1492250" cy="3937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Generate Chart Data</a:t>
          </a:r>
        </a:p>
      </xdr:txBody>
    </xdr:sp>
    <xdr:clientData/>
  </xdr:twoCellAnchor>
  <xdr:twoCellAnchor>
    <xdr:from>
      <xdr:col>2</xdr:col>
      <xdr:colOff>311150</xdr:colOff>
      <xdr:row>30</xdr:row>
      <xdr:rowOff>6350</xdr:rowOff>
    </xdr:from>
    <xdr:to>
      <xdr:col>9</xdr:col>
      <xdr:colOff>6350</xdr:colOff>
      <xdr:row>45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4051BA-0F00-E721-68F6-F20C26D80E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0</xdr:row>
      <xdr:rowOff>114300</xdr:rowOff>
    </xdr:from>
    <xdr:to>
      <xdr:col>8</xdr:col>
      <xdr:colOff>577850</xdr:colOff>
      <xdr:row>0</xdr:row>
      <xdr:rowOff>488950</xdr:rowOff>
    </xdr:to>
    <xdr:sp macro="[0]!Generate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6266B40-E47B-252A-1486-3341EED46AF5}"/>
            </a:ext>
          </a:extLst>
        </xdr:cNvPr>
        <xdr:cNvSpPr/>
      </xdr:nvSpPr>
      <xdr:spPr>
        <a:xfrm>
          <a:off x="6769100" y="114300"/>
          <a:ext cx="1479550" cy="3746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Generate</a:t>
          </a:r>
          <a:r>
            <a:rPr lang="en-GB" sz="1100" baseline="0"/>
            <a:t> Report</a:t>
          </a:r>
        </a:p>
        <a:p>
          <a:pPr algn="ctr"/>
          <a:endParaRPr lang="en-GB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838080</xdr:colOff>
      <xdr:row>0</xdr:row>
      <xdr:rowOff>0</xdr:rowOff>
    </xdr:from>
    <xdr:to>
      <xdr:col>10</xdr:col>
      <xdr:colOff>1738800</xdr:colOff>
      <xdr:row>0</xdr:row>
      <xdr:rowOff>0</xdr:rowOff>
    </xdr:to>
    <xdr:sp macro="[0]!Complete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903960" y="16524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830160</xdr:colOff>
      <xdr:row>0</xdr:row>
      <xdr:rowOff>0</xdr:rowOff>
    </xdr:from>
    <xdr:to>
      <xdr:col>10</xdr:col>
      <xdr:colOff>1730880</xdr:colOff>
      <xdr:row>0</xdr:row>
      <xdr:rowOff>0</xdr:rowOff>
    </xdr:to>
    <xdr:sp macro="[0]!Complete" textlink="">
      <xdr:nvSpPr>
        <xdr:cNvPr id="4" name="Rectangle: Rounded Corners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8896040" y="146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839160</xdr:colOff>
      <xdr:row>0</xdr:row>
      <xdr:rowOff>0</xdr:rowOff>
    </xdr:from>
    <xdr:to>
      <xdr:col>10</xdr:col>
      <xdr:colOff>1739880</xdr:colOff>
      <xdr:row>0</xdr:row>
      <xdr:rowOff>0</xdr:rowOff>
    </xdr:to>
    <xdr:sp macro="[0]!Complete" textlink="">
      <xdr:nvSpPr>
        <xdr:cNvPr id="5" name="Rectangle: Rounded Corners 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8905040" y="13680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820800</xdr:colOff>
      <xdr:row>0</xdr:row>
      <xdr:rowOff>0</xdr:rowOff>
    </xdr:from>
    <xdr:to>
      <xdr:col>10</xdr:col>
      <xdr:colOff>1721520</xdr:colOff>
      <xdr:row>0</xdr:row>
      <xdr:rowOff>0</xdr:rowOff>
    </xdr:to>
    <xdr:sp macro="[0]!Complete" textlink="">
      <xdr:nvSpPr>
        <xdr:cNvPr id="6" name="Rectangle: Rounded Corners 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8886680" y="173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839160</xdr:colOff>
      <xdr:row>0</xdr:row>
      <xdr:rowOff>0</xdr:rowOff>
    </xdr:from>
    <xdr:to>
      <xdr:col>10</xdr:col>
      <xdr:colOff>1739880</xdr:colOff>
      <xdr:row>0</xdr:row>
      <xdr:rowOff>0</xdr:rowOff>
    </xdr:to>
    <xdr:sp macro="[0]!Complete" textlink="">
      <xdr:nvSpPr>
        <xdr:cNvPr id="7" name="Rectangle: Rounded Corners 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890504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830160</xdr:colOff>
      <xdr:row>0</xdr:row>
      <xdr:rowOff>0</xdr:rowOff>
    </xdr:from>
    <xdr:to>
      <xdr:col>10</xdr:col>
      <xdr:colOff>1730880</xdr:colOff>
      <xdr:row>0</xdr:row>
      <xdr:rowOff>0</xdr:rowOff>
    </xdr:to>
    <xdr:sp macro="[0]!Complete" textlink="">
      <xdr:nvSpPr>
        <xdr:cNvPr id="8" name="Rectangle: Rounded Corners 1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18896040" y="173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839160</xdr:colOff>
      <xdr:row>0</xdr:row>
      <xdr:rowOff>0</xdr:rowOff>
    </xdr:from>
    <xdr:to>
      <xdr:col>10</xdr:col>
      <xdr:colOff>1739880</xdr:colOff>
      <xdr:row>0</xdr:row>
      <xdr:rowOff>0</xdr:rowOff>
    </xdr:to>
    <xdr:sp macro="[0]!Complete" textlink="">
      <xdr:nvSpPr>
        <xdr:cNvPr id="9" name="Rectangle: Rounded Corners 1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1890504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820800</xdr:colOff>
      <xdr:row>0</xdr:row>
      <xdr:rowOff>0</xdr:rowOff>
    </xdr:from>
    <xdr:to>
      <xdr:col>10</xdr:col>
      <xdr:colOff>1721520</xdr:colOff>
      <xdr:row>0</xdr:row>
      <xdr:rowOff>0</xdr:rowOff>
    </xdr:to>
    <xdr:sp macro="[0]!Complete" textlink="">
      <xdr:nvSpPr>
        <xdr:cNvPr id="10" name="Rectangle: Rounded Corners 1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1888668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848160</xdr:colOff>
      <xdr:row>0</xdr:row>
      <xdr:rowOff>0</xdr:rowOff>
    </xdr:from>
    <xdr:to>
      <xdr:col>10</xdr:col>
      <xdr:colOff>1748880</xdr:colOff>
      <xdr:row>0</xdr:row>
      <xdr:rowOff>0</xdr:rowOff>
    </xdr:to>
    <xdr:sp macro="[0]!Complete" textlink="">
      <xdr:nvSpPr>
        <xdr:cNvPr id="11" name="Rectangle: Rounded Corners 1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1891404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830160</xdr:colOff>
      <xdr:row>0</xdr:row>
      <xdr:rowOff>0</xdr:rowOff>
    </xdr:from>
    <xdr:to>
      <xdr:col>10</xdr:col>
      <xdr:colOff>1730880</xdr:colOff>
      <xdr:row>0</xdr:row>
      <xdr:rowOff>0</xdr:rowOff>
    </xdr:to>
    <xdr:sp macro="[0]!Complete" textlink="">
      <xdr:nvSpPr>
        <xdr:cNvPr id="12" name="Rectangle: Rounded Corners 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18896040" y="173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W49"/>
  <sheetViews>
    <sheetView tabSelected="1" zoomScaleNormal="100" workbookViewId="0">
      <selection activeCell="T55" sqref="T55"/>
    </sheetView>
  </sheetViews>
  <sheetFormatPr baseColWidth="10" defaultColWidth="8.5" defaultRowHeight="14.25" customHeight="1" x14ac:dyDescent="0.2"/>
  <cols>
    <col min="1" max="1" width="17.83203125" customWidth="1"/>
  </cols>
  <sheetData>
    <row r="1" spans="1:23" ht="14.25" customHeight="1" x14ac:dyDescent="0.2">
      <c r="A1" s="84" t="s">
        <v>45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</row>
    <row r="2" spans="1:23" ht="14.25" customHeight="1" x14ac:dyDescent="0.2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</row>
    <row r="3" spans="1:23" ht="14.25" customHeight="1" x14ac:dyDescent="0.2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</row>
    <row r="4" spans="1:23" ht="14.25" customHeight="1" x14ac:dyDescent="0.2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</row>
    <row r="5" spans="1:23" ht="14.25" customHeight="1" x14ac:dyDescent="0.2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</row>
    <row r="6" spans="1:23" ht="14.25" customHeight="1" x14ac:dyDescent="0.2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</row>
    <row r="7" spans="1:23" ht="14.25" customHeight="1" x14ac:dyDescent="0.2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</row>
    <row r="8" spans="1:23" ht="14.25" customHeight="1" x14ac:dyDescent="0.2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</row>
    <row r="9" spans="1:23" ht="14.25" customHeight="1" x14ac:dyDescent="0.2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</row>
    <row r="10" spans="1:23" ht="14.25" customHeight="1" x14ac:dyDescent="0.2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</row>
    <row r="11" spans="1:23" ht="14.25" customHeight="1" x14ac:dyDescent="0.2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</row>
    <row r="12" spans="1:23" ht="14.25" customHeight="1" x14ac:dyDescent="0.2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</row>
    <row r="13" spans="1:23" ht="14.25" customHeight="1" x14ac:dyDescent="0.2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</row>
    <row r="14" spans="1:23" ht="14.25" customHeight="1" x14ac:dyDescent="0.2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</row>
    <row r="15" spans="1:23" ht="14.25" customHeight="1" x14ac:dyDescent="0.2">
      <c r="A15" s="84"/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</row>
    <row r="16" spans="1:23" ht="14.25" customHeight="1" x14ac:dyDescent="0.2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</row>
    <row r="17" spans="1:23" ht="14.25" customHeight="1" x14ac:dyDescent="0.2">
      <c r="A17" s="84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</row>
    <row r="18" spans="1:23" ht="14.25" customHeight="1" x14ac:dyDescent="0.2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</row>
    <row r="19" spans="1:23" ht="14.25" customHeight="1" x14ac:dyDescent="0.2">
      <c r="A19" s="84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</row>
    <row r="20" spans="1:23" ht="14.25" customHeight="1" x14ac:dyDescent="0.2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</row>
    <row r="21" spans="1:23" ht="14.25" customHeight="1" x14ac:dyDescent="0.2">
      <c r="A21" s="84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</row>
    <row r="22" spans="1:23" ht="14.25" customHeight="1" x14ac:dyDescent="0.2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</row>
    <row r="23" spans="1:23" ht="14.25" customHeight="1" x14ac:dyDescent="0.2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</row>
    <row r="24" spans="1:23" ht="14.25" customHeight="1" x14ac:dyDescent="0.2">
      <c r="A24" s="85" t="s">
        <v>46</v>
      </c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</row>
    <row r="25" spans="1:23" ht="14.25" customHeight="1" x14ac:dyDescent="0.2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</row>
    <row r="26" spans="1:23" ht="14.25" customHeight="1" x14ac:dyDescent="0.2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</row>
    <row r="27" spans="1:23" ht="14.25" customHeight="1" x14ac:dyDescent="0.2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</row>
    <row r="28" spans="1:23" ht="14.25" customHeight="1" x14ac:dyDescent="0.2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</row>
    <row r="29" spans="1:23" ht="14.25" customHeight="1" x14ac:dyDescent="0.2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</row>
    <row r="30" spans="1:23" ht="14.25" customHeight="1" x14ac:dyDescent="0.2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</row>
    <row r="31" spans="1:23" ht="14.25" customHeight="1" x14ac:dyDescent="0.2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</row>
    <row r="32" spans="1:23" ht="14.25" customHeight="1" x14ac:dyDescent="0.2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</row>
    <row r="33" spans="1:23" ht="14.25" customHeight="1" x14ac:dyDescent="0.2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</row>
    <row r="34" spans="1:23" ht="14.25" customHeight="1" x14ac:dyDescent="0.2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</row>
    <row r="35" spans="1:23" ht="14.25" customHeight="1" x14ac:dyDescent="0.2">
      <c r="A35" s="85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</row>
    <row r="36" spans="1:23" ht="14.25" customHeight="1" x14ac:dyDescent="0.2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</row>
    <row r="37" spans="1:23" ht="14.25" customHeight="1" x14ac:dyDescent="0.2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</row>
    <row r="38" spans="1:23" ht="14.25" customHeight="1" x14ac:dyDescent="0.2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</row>
    <row r="39" spans="1:23" ht="14.25" customHeight="1" x14ac:dyDescent="0.2">
      <c r="A39" s="85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</row>
    <row r="40" spans="1:23" ht="14.25" customHeight="1" x14ac:dyDescent="0.2">
      <c r="A40" s="85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</row>
    <row r="41" spans="1:23" ht="14.25" customHeight="1" x14ac:dyDescent="0.2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</row>
    <row r="42" spans="1:23" ht="14.25" customHeight="1" x14ac:dyDescent="0.2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</row>
    <row r="43" spans="1:23" ht="14.25" customHeight="1" x14ac:dyDescent="0.2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</row>
    <row r="44" spans="1:23" ht="14.25" customHeight="1" x14ac:dyDescent="0.2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</row>
    <row r="45" spans="1:23" ht="14.25" customHeight="1" x14ac:dyDescent="0.2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</row>
    <row r="46" spans="1:23" ht="14.25" customHeight="1" x14ac:dyDescent="0.2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</row>
    <row r="47" spans="1:23" ht="14.25" customHeight="1" x14ac:dyDescent="0.2">
      <c r="A47" s="85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</row>
    <row r="48" spans="1:23" ht="14.25" customHeight="1" x14ac:dyDescent="0.2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</row>
    <row r="49" spans="1:23" ht="14.25" customHeight="1" x14ac:dyDescent="0.2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</row>
  </sheetData>
  <sheetProtection sheet="1" objects="1" scenarios="1"/>
  <mergeCells count="2">
    <mergeCell ref="A1:W23"/>
    <mergeCell ref="A24:W49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8"/>
  <dimension ref="A1:AC1009"/>
  <sheetViews>
    <sheetView zoomScale="60" zoomScaleNormal="60" workbookViewId="0">
      <selection activeCell="D29" sqref="D29"/>
    </sheetView>
  </sheetViews>
  <sheetFormatPr baseColWidth="10" defaultColWidth="20.6640625" defaultRowHeight="40" customHeight="1" x14ac:dyDescent="0.2"/>
  <cols>
    <col min="1" max="1" width="20.6640625" style="49" customWidth="1"/>
    <col min="2" max="9" width="20.6640625" style="49"/>
    <col min="10" max="10" width="30.6640625" style="49" customWidth="1"/>
    <col min="11" max="16384" width="20.6640625" style="49"/>
  </cols>
  <sheetData>
    <row r="1" spans="1:29" ht="40" customHeight="1" x14ac:dyDescent="0.2">
      <c r="A1" s="88" t="s">
        <v>0</v>
      </c>
      <c r="B1" s="88"/>
      <c r="C1" s="91" t="s">
        <v>1</v>
      </c>
      <c r="D1" s="91"/>
      <c r="E1" s="91"/>
      <c r="F1" s="91"/>
      <c r="G1" s="91"/>
      <c r="H1" s="91"/>
      <c r="I1" s="51"/>
      <c r="J1" s="88" t="s">
        <v>70</v>
      </c>
      <c r="K1" s="88"/>
      <c r="L1" s="91" t="s">
        <v>71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2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2">
      <c r="A3" s="18"/>
      <c r="B3" s="17"/>
      <c r="C3" s="17"/>
      <c r="D3" s="17"/>
      <c r="E3" s="17"/>
      <c r="F3" s="17"/>
      <c r="G3" s="17"/>
      <c r="H3" s="17"/>
      <c r="I3" s="17"/>
      <c r="J3" s="17"/>
      <c r="K3" s="89"/>
      <c r="L3" s="89"/>
      <c r="M3" s="89"/>
      <c r="N3" s="89"/>
      <c r="O3" s="89"/>
      <c r="P3" s="89"/>
      <c r="Q3" s="89"/>
      <c r="R3" s="89"/>
      <c r="S3" s="89"/>
      <c r="T3" s="89"/>
      <c r="U3" s="45"/>
      <c r="V3" s="45"/>
      <c r="W3" s="17"/>
      <c r="X3" s="17"/>
      <c r="Y3" s="17"/>
      <c r="Z3" s="17"/>
      <c r="AA3" s="17"/>
      <c r="AB3" s="17"/>
      <c r="AC3" s="17"/>
    </row>
    <row r="4" spans="1:29" ht="60" customHeight="1" x14ac:dyDescent="0.2">
      <c r="A4" s="93" t="s">
        <v>90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2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4</v>
      </c>
      <c r="L5" s="21" t="s">
        <v>5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2">
      <c r="A6" s="23" t="s">
        <v>14</v>
      </c>
      <c r="B6" s="23" t="s">
        <v>74</v>
      </c>
      <c r="C6" s="23" t="s">
        <v>128</v>
      </c>
      <c r="D6" s="23" t="s">
        <v>131</v>
      </c>
      <c r="E6" s="23" t="s">
        <v>133</v>
      </c>
      <c r="F6" s="23" t="s">
        <v>136</v>
      </c>
      <c r="G6" s="23" t="s">
        <v>137</v>
      </c>
      <c r="H6" s="23" t="s">
        <v>140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2">
      <c r="A7" s="26" t="str">
        <f>K5</f>
        <v>Ingredient1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0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2">
      <c r="A8" s="26" t="str">
        <f>L5</f>
        <v>Ingredient2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2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2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0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2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2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0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2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2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2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2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2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2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2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2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2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50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2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2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2">
      <c r="A25" s="23" t="s">
        <v>14</v>
      </c>
      <c r="B25" s="23" t="s">
        <v>128</v>
      </c>
      <c r="C25" s="23" t="s">
        <v>130</v>
      </c>
      <c r="D25" s="23" t="s">
        <v>133</v>
      </c>
      <c r="E25" s="23" t="s">
        <v>135</v>
      </c>
      <c r="F25" s="23" t="s">
        <v>138</v>
      </c>
      <c r="G25" s="41" t="s">
        <v>140</v>
      </c>
      <c r="H25" s="17"/>
      <c r="I25" s="17"/>
      <c r="J25" s="42" t="s">
        <v>30</v>
      </c>
      <c r="K25" s="36"/>
      <c r="L25" s="37" t="s">
        <v>191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2">
      <c r="A26" s="26" t="str">
        <f>K5</f>
        <v>Ingredient1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Ingredient1</v>
      </c>
      <c r="K26" s="25">
        <v>0</v>
      </c>
      <c r="L26" s="25">
        <f>(K7*K26)/K6</f>
        <v>0</v>
      </c>
      <c r="M26" s="25">
        <f>(K8*K26)/K6</f>
        <v>0</v>
      </c>
      <c r="N26" s="25">
        <f>(K9*K26)/K6</f>
        <v>0</v>
      </c>
      <c r="O26" s="25">
        <f>(K10*K26)/K6</f>
        <v>0</v>
      </c>
      <c r="P26" s="25">
        <f>(K11*K26)/K6</f>
        <v>0</v>
      </c>
      <c r="Q26" s="25">
        <f>(K12*K26)/K6</f>
        <v>0</v>
      </c>
      <c r="R26" s="25">
        <f>(K13*K26)/K6</f>
        <v>0</v>
      </c>
      <c r="S26" s="25">
        <f>(K14*K26)/K6</f>
        <v>0</v>
      </c>
      <c r="T26" s="46">
        <f>(K15*K26)/K6</f>
        <v>0</v>
      </c>
      <c r="U26" s="46">
        <f>(K16*K26)/K6</f>
        <v>0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2">
      <c r="A27" s="26" t="str">
        <f>L5</f>
        <v>Ingredient2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Ingredient2</v>
      </c>
      <c r="K27" s="25">
        <v>0</v>
      </c>
      <c r="L27" s="25">
        <f>(L7*K27)/L6</f>
        <v>0</v>
      </c>
      <c r="M27" s="25">
        <f>(L8*K27)/L6</f>
        <v>0</v>
      </c>
      <c r="N27" s="25">
        <f>(L9*K27)/L6</f>
        <v>0</v>
      </c>
      <c r="O27" s="25">
        <f>(L10*K27)/L6</f>
        <v>0</v>
      </c>
      <c r="P27" s="25">
        <f>(L11*K27)/L6</f>
        <v>0</v>
      </c>
      <c r="Q27" s="25">
        <f>(L12*K27)/L6</f>
        <v>0</v>
      </c>
      <c r="R27" s="25">
        <f>(L13*K27)/L6</f>
        <v>0</v>
      </c>
      <c r="S27" s="25">
        <f>(L14*K27)/L6</f>
        <v>0</v>
      </c>
      <c r="T27" s="46">
        <f>(L15*K27)/L6</f>
        <v>0</v>
      </c>
      <c r="U27" s="46">
        <f>(L16*K27)/L6</f>
        <v>0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0</v>
      </c>
      <c r="AA27" s="17"/>
      <c r="AB27" s="17"/>
      <c r="AC27" s="17"/>
    </row>
    <row r="28" spans="1:29" ht="40" customHeight="1" x14ac:dyDescent="0.2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2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2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2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2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2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2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2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2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0</v>
      </c>
      <c r="M36" s="25">
        <f t="shared" si="7"/>
        <v>0</v>
      </c>
      <c r="N36" s="25">
        <f t="shared" si="7"/>
        <v>0</v>
      </c>
      <c r="O36" s="25">
        <f t="shared" si="7"/>
        <v>0</v>
      </c>
      <c r="P36" s="25">
        <f t="shared" si="7"/>
        <v>0</v>
      </c>
      <c r="Q36" s="25">
        <f t="shared" si="7"/>
        <v>0</v>
      </c>
      <c r="R36" s="25">
        <f t="shared" si="7"/>
        <v>0</v>
      </c>
      <c r="S36" s="25">
        <f t="shared" si="7"/>
        <v>0</v>
      </c>
      <c r="T36" s="46">
        <f t="shared" si="7"/>
        <v>0</v>
      </c>
      <c r="U36" s="46">
        <f t="shared" si="7"/>
        <v>0</v>
      </c>
      <c r="V36" s="25">
        <f t="shared" si="7"/>
        <v>0</v>
      </c>
      <c r="W36" s="25">
        <f t="shared" si="7"/>
        <v>0</v>
      </c>
      <c r="X36" s="47">
        <f t="shared" si="7"/>
        <v>0</v>
      </c>
      <c r="Y36" s="25">
        <f t="shared" si="7"/>
        <v>0</v>
      </c>
      <c r="Z36" s="25">
        <f t="shared" si="7"/>
        <v>0</v>
      </c>
      <c r="AA36" s="17"/>
      <c r="AB36" s="17"/>
      <c r="AC36" s="17"/>
    </row>
    <row r="37" spans="1:29" ht="40" customHeight="1" x14ac:dyDescent="0.2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2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2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2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2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2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2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2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2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2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2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2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2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2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2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2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2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2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2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2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2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2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2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2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2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2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2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2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2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2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2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2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2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2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2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2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2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2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2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2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2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2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2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2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2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2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2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2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2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2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2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2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2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2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2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2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2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2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2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2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2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2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2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2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2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2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2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2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2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2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2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2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2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2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2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2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2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2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2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2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2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2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2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2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2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2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2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2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2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2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2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2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2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2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2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2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2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2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2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2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2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2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2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2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2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2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2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2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2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2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2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2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2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2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2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2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2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2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2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2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2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2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2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2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2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2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2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2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2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2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2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2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2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2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2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2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2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2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2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2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2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2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2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2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2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2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2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2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2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2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2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2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2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2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2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2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2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2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2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2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2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2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2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2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2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2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2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2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2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2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2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2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2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2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2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2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2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2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2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2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2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2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2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2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2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2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2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2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2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2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2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2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2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2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2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2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2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2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2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2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2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2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2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2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2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2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2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2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2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2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2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2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2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2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2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2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2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2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2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2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2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2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2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2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2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2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2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2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2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2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2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2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2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2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2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2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2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2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2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2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2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2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2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2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2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2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2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2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2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2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2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2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2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2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2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2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2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2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2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2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2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2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2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2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2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2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2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2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2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2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2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2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2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2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2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2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2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2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2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2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2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2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2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2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2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2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2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2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2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2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2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2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2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2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2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2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2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2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2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2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2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2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2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2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2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2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2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2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2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2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2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2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2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2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2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2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2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2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2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2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2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2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2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2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2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2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2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2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2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2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2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2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2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2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2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2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2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2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2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2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2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2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2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2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2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2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2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2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2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2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2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2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2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2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2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2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2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2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2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2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2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2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2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2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2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2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2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2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2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2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2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2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2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2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2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2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2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2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2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2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2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2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2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2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2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2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2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2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2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2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2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2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2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2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2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2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2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2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2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2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2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2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2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2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2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2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2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2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2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2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2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2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2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2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2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2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2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2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2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2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2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2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2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2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2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2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2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2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2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2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2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2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2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2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2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2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2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2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2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2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2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2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2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2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2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2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2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2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2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2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2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2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2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2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2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2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2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2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2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2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2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2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2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2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2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2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2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2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2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2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2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2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2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2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2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2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2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2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2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2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2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2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2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2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2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2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2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2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2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2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2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2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2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2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2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2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2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2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2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2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2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2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2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2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2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2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2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2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2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2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2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2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2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2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2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2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2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2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2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2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2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2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2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2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2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2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2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2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2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2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2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2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2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2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2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2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2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2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2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2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2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2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2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2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2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2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2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2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2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2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2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2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2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2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2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2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2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2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2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2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2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2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2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2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2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2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2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2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2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2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2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2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2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2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2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2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2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2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2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2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2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2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2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2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2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2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2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2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2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2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2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2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2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2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2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2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2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2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2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2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2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2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2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2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2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2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2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2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2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2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2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2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2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2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2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2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2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2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2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2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2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2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2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2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2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2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2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2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2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2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2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2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2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2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2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2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2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2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2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2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2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2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2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2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2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2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2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2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2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2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2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2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2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2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2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2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2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2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2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2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2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2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2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2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2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2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2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2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2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2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2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2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2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2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2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2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2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2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2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2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2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2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2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2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2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2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2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2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2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2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2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2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2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2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2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2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2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2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2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2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2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2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2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2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2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2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2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2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2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2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2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2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2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2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2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2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2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2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2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2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2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2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2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2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2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2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2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2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2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2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2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2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2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2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2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2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2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2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2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2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2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2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2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2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2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2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2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2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2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2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2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2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2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2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2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2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2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2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2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2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2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2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2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2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2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2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2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2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2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2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2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2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2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2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2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2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2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2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2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2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2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2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2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2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2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2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2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2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2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2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2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2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2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2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2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2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2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2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2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2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2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2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2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2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2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2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2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2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2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2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2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2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2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2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2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2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2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2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2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2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2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2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2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2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2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2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2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2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2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2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2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2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2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2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2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2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2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2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2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2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2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2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2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2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2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2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2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2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2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2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2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2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2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2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2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2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2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2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2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2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2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2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2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2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2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2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2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2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2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2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2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2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2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2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2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2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2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2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2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2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2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2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2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2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2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2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2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2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2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2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2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2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2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2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2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2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2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2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2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2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2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2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2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2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2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2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2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2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2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2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2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2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2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2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2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2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2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2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2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2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2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2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2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2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2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2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2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2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2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2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2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2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2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2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2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2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2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2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2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2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2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2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2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2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2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2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2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2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2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2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2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2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2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2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2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2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2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2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2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2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2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2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2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2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2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2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2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2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2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2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2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2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2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23:G23"/>
    <mergeCell ref="J23:Z23"/>
    <mergeCell ref="A24:G24"/>
    <mergeCell ref="A1:B1"/>
    <mergeCell ref="K3:T3"/>
    <mergeCell ref="J4:T4"/>
    <mergeCell ref="J1:K1"/>
    <mergeCell ref="C1:H1"/>
    <mergeCell ref="A5:H5"/>
    <mergeCell ref="A4:H4"/>
    <mergeCell ref="L1:T1"/>
  </mergeCell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9"/>
  <dimension ref="A1:M166"/>
  <sheetViews>
    <sheetView zoomScale="90" zoomScaleNormal="90" workbookViewId="0">
      <pane ySplit="1" topLeftCell="A2" activePane="bottomLeft" state="frozen"/>
      <selection pane="bottomLeft" activeCell="D73" sqref="D73"/>
    </sheetView>
  </sheetViews>
  <sheetFormatPr baseColWidth="10" defaultColWidth="8.6640625" defaultRowHeight="35" customHeight="1" x14ac:dyDescent="0.2"/>
  <cols>
    <col min="1" max="1" width="25.6640625" style="1" customWidth="1"/>
    <col min="2" max="2" width="10.6640625" style="1" customWidth="1"/>
    <col min="3" max="3" width="25.6640625" style="1" customWidth="1"/>
    <col min="4" max="4" width="10.6640625" style="1" customWidth="1"/>
    <col min="5" max="5" width="25.6640625" style="1" customWidth="1"/>
    <col min="6" max="6" width="10.6640625" style="1" customWidth="1"/>
    <col min="7" max="11" width="15.6640625" style="1" customWidth="1"/>
    <col min="12" max="12" width="8.6640625" style="1"/>
    <col min="13" max="13" width="20.6640625" style="1" customWidth="1"/>
    <col min="14" max="16384" width="8.6640625" style="1"/>
  </cols>
  <sheetData>
    <row r="1" spans="1:13" ht="50" customHeight="1" x14ac:dyDescent="0.2">
      <c r="J1" s="101"/>
      <c r="K1" s="101"/>
    </row>
    <row r="2" spans="1:13" ht="35" customHeight="1" x14ac:dyDescent="0.2">
      <c r="A2" s="2" t="s">
        <v>207</v>
      </c>
      <c r="B2" s="100">
        <v>46023</v>
      </c>
      <c r="C2" s="100"/>
      <c r="D2" s="100"/>
      <c r="E2" s="100"/>
      <c r="F2" s="100"/>
      <c r="G2" s="100"/>
      <c r="H2" s="100"/>
      <c r="I2" s="100"/>
      <c r="J2" s="100"/>
      <c r="K2" s="100"/>
      <c r="M2" s="15" t="s">
        <v>32</v>
      </c>
    </row>
    <row r="3" spans="1:13" ht="35" customHeight="1" x14ac:dyDescent="0.2">
      <c r="A3" s="3" t="s">
        <v>0</v>
      </c>
      <c r="B3" s="96" t="str">
        <f t="array" aca="1" ref="B3" ca="1">INDIRECT("'" &amp; $M$3 &amp; "'!c1")</f>
        <v>Your Menu Name</v>
      </c>
      <c r="C3" s="96"/>
      <c r="D3" s="96"/>
      <c r="E3" s="96"/>
      <c r="F3" s="96"/>
      <c r="G3" s="96"/>
      <c r="H3" s="96"/>
      <c r="I3" s="96"/>
      <c r="J3" s="96"/>
      <c r="K3" s="96"/>
      <c r="M3" s="6" t="s">
        <v>34</v>
      </c>
    </row>
    <row r="4" spans="1:13" ht="35" customHeight="1" x14ac:dyDescent="0.2">
      <c r="A4" s="4" t="s">
        <v>17</v>
      </c>
      <c r="B4" s="5" cm="1">
        <f t="array" aca="1" ref="B4" ca="1">INDIRECT("'" &amp; $M$3 &amp; "'!M36")</f>
        <v>0</v>
      </c>
      <c r="C4" s="4" t="s">
        <v>49</v>
      </c>
      <c r="D4" s="5" cm="1">
        <f t="array" aca="1" ref="D4" ca="1">INDIRECT("'" &amp; $M$3 &amp; "'!N36")</f>
        <v>0</v>
      </c>
      <c r="E4" s="4" t="s">
        <v>18</v>
      </c>
      <c r="F4" s="5" cm="1">
        <f t="array" aca="1" ref="F4" ca="1">INDIRECT("'" &amp; $M$3 &amp; "'!O36")</f>
        <v>0</v>
      </c>
      <c r="G4" s="97" t="s">
        <v>33</v>
      </c>
      <c r="H4" s="97"/>
      <c r="I4" s="97"/>
      <c r="J4" s="97"/>
      <c r="K4" s="97"/>
      <c r="M4" s="6" t="s">
        <v>34</v>
      </c>
    </row>
    <row r="5" spans="1:13" ht="35" customHeight="1" x14ac:dyDescent="0.2">
      <c r="A5" s="4" t="s">
        <v>19</v>
      </c>
      <c r="B5" s="5" cm="1">
        <f t="array" aca="1" ref="B5" ca="1">INDIRECT("'" &amp; $M$3 &amp; "'!P36")</f>
        <v>0</v>
      </c>
      <c r="C5" s="4" t="s">
        <v>35</v>
      </c>
      <c r="D5" s="5" cm="1">
        <f t="array" aca="1" ref="D5" ca="1">INDIRECT("'" &amp; $M$3 &amp; "'!Q36")</f>
        <v>0</v>
      </c>
      <c r="E5" s="4" t="s">
        <v>36</v>
      </c>
      <c r="F5" s="5" cm="1">
        <f t="array" aca="1" ref="F5" ca="1">INDIRECT("'" &amp; $M$3 &amp; "'!R36")</f>
        <v>0</v>
      </c>
      <c r="G5" s="7" t="str" cm="1">
        <f t="array" aca="1" ref="G5" ca="1">INDIRECT("'" &amp; $M$3 &amp; "'!K5")</f>
        <v>Ingredient1</v>
      </c>
      <c r="H5" s="7" t="str" cm="1">
        <f t="array" aca="1" ref="H5" ca="1">INDIRECT("'" &amp; $M$3 &amp; "'!L5")</f>
        <v>Ingredient2</v>
      </c>
      <c r="I5" s="7" t="str" cm="1">
        <f t="array" aca="1" ref="I5" ca="1">INDIRECT("'" &amp; $M$3 &amp; "'!M5")</f>
        <v>Ingredient3</v>
      </c>
      <c r="J5" s="7" t="str" cm="1">
        <f t="array" aca="1" ref="J5" ca="1">INDIRECT("'" &amp; $M$3 &amp; "'!N5")</f>
        <v>Ingredient4</v>
      </c>
      <c r="K5" s="7" t="str" cm="1">
        <f t="array" aca="1" ref="K5" ca="1">INDIRECT("'" &amp; $M$3 &amp; "'!O5")</f>
        <v>Ingredient5</v>
      </c>
      <c r="M5" s="6" t="s">
        <v>34</v>
      </c>
    </row>
    <row r="6" spans="1:13" ht="35" customHeight="1" x14ac:dyDescent="0.2">
      <c r="A6" s="4" t="s">
        <v>58</v>
      </c>
      <c r="B6" s="5" cm="1">
        <f t="array" aca="1" ref="B6" ca="1">INDIRECT("'" &amp; $M$3 &amp; "'!S36")</f>
        <v>0</v>
      </c>
      <c r="C6" s="4" t="s">
        <v>37</v>
      </c>
      <c r="D6" s="5" cm="1">
        <f t="array" aca="1" ref="D6" ca="1">INDIRECT("'" &amp; $M$3 &amp; "'!T36")</f>
        <v>0</v>
      </c>
      <c r="E6" s="4" t="s">
        <v>22</v>
      </c>
      <c r="F6" s="5" cm="1">
        <f t="array" aca="1" ref="F6" ca="1">INDIRECT("'" &amp; $M$3 &amp; "'!U36")</f>
        <v>0</v>
      </c>
      <c r="G6" s="95" cm="1">
        <f t="array" aca="1" ref="G6" ca="1">INDIRECT("'" &amp; $M$3 &amp; "'!K26")</f>
        <v>0</v>
      </c>
      <c r="H6" s="95" cm="1">
        <f t="array" aca="1" ref="H6" ca="1">INDIRECT("'" &amp; $M$3 &amp; "'!K27")</f>
        <v>0</v>
      </c>
      <c r="I6" s="95" cm="1">
        <f t="array" aca="1" ref="I6" ca="1">INDIRECT("'" &amp; $M$3 &amp; "'!K28")</f>
        <v>0</v>
      </c>
      <c r="J6" s="95" cm="1">
        <f t="array" aca="1" ref="J6" ca="1">INDIRECT("'" &amp; $M$3 &amp; "'!K29")</f>
        <v>0</v>
      </c>
      <c r="K6" s="95" cm="1">
        <f t="array" aca="1" ref="K6" ca="1">INDIRECT("'" &amp; $M$3 &amp; "'!K30")</f>
        <v>0</v>
      </c>
      <c r="M6" s="6" t="s">
        <v>34</v>
      </c>
    </row>
    <row r="7" spans="1:13" ht="35" customHeight="1" x14ac:dyDescent="0.2">
      <c r="A7" s="4" t="s">
        <v>23</v>
      </c>
      <c r="B7" s="5" cm="1">
        <f t="array" aca="1" ref="B7" ca="1">INDIRECT("'" &amp; $M$3 &amp; "'!V36")</f>
        <v>0</v>
      </c>
      <c r="C7" s="4" t="s">
        <v>38</v>
      </c>
      <c r="D7" s="5" cm="1">
        <f t="array" aca="1" ref="D7" ca="1">INDIRECT("'" &amp; $M$3 &amp; "'!W36")</f>
        <v>0</v>
      </c>
      <c r="E7" s="4" t="s">
        <v>39</v>
      </c>
      <c r="F7" s="5" cm="1">
        <f t="array" aca="1" ref="F7" ca="1">INDIRECT("'" &amp; $M$3 &amp; "'!X36")</f>
        <v>0</v>
      </c>
      <c r="G7" s="95"/>
      <c r="H7" s="95"/>
      <c r="I7" s="95"/>
      <c r="J7" s="95"/>
      <c r="K7" s="95"/>
      <c r="M7" s="6" t="s">
        <v>34</v>
      </c>
    </row>
    <row r="8" spans="1:13" ht="35" customHeight="1" x14ac:dyDescent="0.2">
      <c r="A8" s="4" t="s">
        <v>40</v>
      </c>
      <c r="B8" s="5" cm="1">
        <f t="array" aca="1" ref="B8" ca="1">INDIRECT("'" &amp; $M$3 &amp; "'!Y36")</f>
        <v>0</v>
      </c>
      <c r="C8" s="4" t="s">
        <v>41</v>
      </c>
      <c r="D8" s="5" cm="1">
        <f t="array" aca="1" ref="D8" ca="1">INDIRECT("'" &amp; $M$3 &amp; "'!Z36")</f>
        <v>0</v>
      </c>
      <c r="E8" s="4"/>
      <c r="F8" s="5">
        <v>0</v>
      </c>
      <c r="G8" s="7" t="str" cm="1">
        <f t="array" aca="1" ref="G8" ca="1">INDIRECT("'" &amp; $M$3 &amp; "'!P5")</f>
        <v>Ingredient6</v>
      </c>
      <c r="H8" s="7" t="str" cm="1">
        <f t="array" aca="1" ref="H8" ca="1">INDIRECT("'" &amp; $M$3 &amp; "'!Q5")</f>
        <v>Ingredient7</v>
      </c>
      <c r="I8" s="7" t="str" cm="1">
        <f t="array" aca="1" ref="I8" ca="1">INDIRECT("'" &amp; $M$3 &amp; "'!R5")</f>
        <v>Ingredient8</v>
      </c>
      <c r="J8" s="7" t="str" cm="1">
        <f t="array" aca="1" ref="J8" ca="1">INDIRECT("'" &amp; $M$3 &amp; "'!S5")</f>
        <v>Ingredient9</v>
      </c>
      <c r="K8" s="7" t="str" cm="1">
        <f t="array" aca="1" ref="K8" ca="1">INDIRECT("'" &amp; $M$3 &amp; "'!T5")</f>
        <v>Ingredient10</v>
      </c>
      <c r="M8" s="6" t="s">
        <v>34</v>
      </c>
    </row>
    <row r="9" spans="1:13" ht="35" customHeight="1" x14ac:dyDescent="0.2">
      <c r="A9" s="9" t="s">
        <v>128</v>
      </c>
      <c r="B9" s="5" cm="1">
        <f t="array" aca="1" ref="B9" ca="1">INDIRECT("'" &amp; $M$3 &amp; "'!B36")</f>
        <v>0</v>
      </c>
      <c r="C9" s="9" t="s">
        <v>130</v>
      </c>
      <c r="D9" s="5" cm="1">
        <f t="array" aca="1" ref="D9" ca="1">INDIRECT("'" &amp; $M$3 &amp; "'!C36")</f>
        <v>0</v>
      </c>
      <c r="E9" s="9" t="s">
        <v>133</v>
      </c>
      <c r="F9" s="5" cm="1">
        <f t="array" aca="1" ref="F9" ca="1">INDIRECT("'" &amp; $M$3 &amp; "'!D36")</f>
        <v>0</v>
      </c>
      <c r="G9" s="95" cm="1">
        <f t="array" aca="1" ref="G9" ca="1">INDIRECT("'" &amp; $M$3 &amp; "'!K31")</f>
        <v>0</v>
      </c>
      <c r="H9" s="95" cm="1">
        <f t="array" aca="1" ref="H9" ca="1">INDIRECT("'" &amp; $M$3 &amp; "'!K32")</f>
        <v>0</v>
      </c>
      <c r="I9" s="95" cm="1">
        <f t="array" aca="1" ref="I9" ca="1">INDIRECT("'" &amp; $M$3 &amp; "'!K33")</f>
        <v>0</v>
      </c>
      <c r="J9" s="95" cm="1">
        <f t="array" aca="1" ref="J9" ca="1">INDIRECT("'" &amp; $M$3 &amp; "'!K34")</f>
        <v>0</v>
      </c>
      <c r="K9" s="95" cm="1">
        <f t="array" aca="1" ref="K9" ca="1">INDIRECT("'" &amp; $M$3 &amp; "'!K35")</f>
        <v>0</v>
      </c>
    </row>
    <row r="10" spans="1:13" ht="35" customHeight="1" x14ac:dyDescent="0.2">
      <c r="A10" s="9" t="s">
        <v>135</v>
      </c>
      <c r="B10" s="5" cm="1">
        <f t="array" aca="1" ref="B10" ca="1">INDIRECT("'" &amp; $M$3 &amp; "'!E36")</f>
        <v>0</v>
      </c>
      <c r="C10" s="9" t="s">
        <v>138</v>
      </c>
      <c r="D10" s="5" cm="1">
        <f t="array" aca="1" ref="D10" ca="1">INDIRECT("'" &amp; $M$3 &amp; "'!F36")</f>
        <v>0</v>
      </c>
      <c r="E10" s="9" t="s">
        <v>140</v>
      </c>
      <c r="F10" s="5" cm="1">
        <f t="array" aca="1" ref="F10" ca="1">INDIRECT("'" &amp; $M$3 &amp; "'!G36")</f>
        <v>0</v>
      </c>
      <c r="G10" s="95"/>
      <c r="H10" s="95"/>
      <c r="I10" s="95"/>
      <c r="J10" s="95"/>
      <c r="K10" s="95"/>
      <c r="M10" s="8"/>
    </row>
    <row r="11" spans="1:13" ht="35" customHeight="1" x14ac:dyDescent="0.2">
      <c r="A11" s="98" t="s">
        <v>42</v>
      </c>
      <c r="B11" s="99"/>
      <c r="C11" s="99"/>
      <c r="D11" s="99"/>
      <c r="E11" s="99"/>
      <c r="F11" s="5" cm="1">
        <f t="array" aca="1" ref="F11" ca="1">INDIRECT("'" &amp; $M$3 &amp; "'!L36")</f>
        <v>0</v>
      </c>
      <c r="G11" s="95"/>
      <c r="H11" s="95"/>
      <c r="I11" s="95"/>
      <c r="J11" s="95"/>
      <c r="K11" s="95"/>
      <c r="M11" s="8"/>
    </row>
    <row r="12" spans="1:13" ht="35" customHeight="1" x14ac:dyDescent="0.2">
      <c r="A12" s="3" t="s">
        <v>0</v>
      </c>
      <c r="B12" s="96" t="str">
        <f t="array" aca="1" ref="B12" ca="1">INDIRECT("'" &amp; $M$4 &amp; "'!c1")</f>
        <v>Your Menu Name</v>
      </c>
      <c r="C12" s="96"/>
      <c r="D12" s="96"/>
      <c r="E12" s="96"/>
      <c r="F12" s="96"/>
      <c r="G12" s="96"/>
      <c r="H12" s="96"/>
      <c r="I12" s="96"/>
      <c r="J12" s="96"/>
      <c r="K12" s="96"/>
    </row>
    <row r="13" spans="1:13" ht="35" customHeight="1" x14ac:dyDescent="0.2">
      <c r="A13" s="4" t="s">
        <v>17</v>
      </c>
      <c r="B13" s="5" cm="1">
        <f t="array" aca="1" ref="B13" ca="1">INDIRECT("'" &amp; $M$4 &amp; "'!M36")</f>
        <v>0</v>
      </c>
      <c r="C13" s="4" t="s">
        <v>49</v>
      </c>
      <c r="D13" s="5" cm="1">
        <f t="array" aca="1" ref="D13" ca="1">INDIRECT("'" &amp; $M$4 &amp; "'!N36")</f>
        <v>0</v>
      </c>
      <c r="E13" s="4" t="s">
        <v>18</v>
      </c>
      <c r="F13" s="5" cm="1">
        <f t="array" aca="1" ref="F13" ca="1">INDIRECT("'" &amp; $M$4 &amp; "'!O36")</f>
        <v>0</v>
      </c>
      <c r="G13" s="97" t="s">
        <v>33</v>
      </c>
      <c r="H13" s="97"/>
      <c r="I13" s="97"/>
      <c r="J13" s="97"/>
      <c r="K13" s="97"/>
      <c r="L13" s="8"/>
    </row>
    <row r="14" spans="1:13" ht="35" customHeight="1" x14ac:dyDescent="0.2">
      <c r="A14" s="4" t="s">
        <v>19</v>
      </c>
      <c r="B14" s="5" cm="1">
        <f t="array" aca="1" ref="B14" ca="1">INDIRECT("'" &amp; $M$4 &amp; "'!P36")</f>
        <v>0</v>
      </c>
      <c r="C14" s="4" t="s">
        <v>35</v>
      </c>
      <c r="D14" s="5" cm="1">
        <f t="array" aca="1" ref="D14" ca="1">INDIRECT("'" &amp; $M$4 &amp; "'!Q36")</f>
        <v>0</v>
      </c>
      <c r="E14" s="4" t="s">
        <v>36</v>
      </c>
      <c r="F14" s="5" cm="1">
        <f t="array" aca="1" ref="F14" ca="1">INDIRECT("'" &amp; $M$4 &amp; "'!R36")</f>
        <v>0</v>
      </c>
      <c r="G14" s="7" t="str" cm="1">
        <f t="array" aca="1" ref="G14" ca="1">INDIRECT("'" &amp; $M$4 &amp; "'!K5")</f>
        <v>Ingredient1</v>
      </c>
      <c r="H14" s="7" t="str" cm="1">
        <f t="array" aca="1" ref="H14" ca="1">INDIRECT("'" &amp; $M$4 &amp; "'!L5")</f>
        <v>Ingredient2</v>
      </c>
      <c r="I14" s="7" t="str" cm="1">
        <f t="array" aca="1" ref="I14" ca="1">INDIRECT("'" &amp; $M$4 &amp; "'!M5")</f>
        <v>Ingredient3</v>
      </c>
      <c r="J14" s="7" t="str" cm="1">
        <f t="array" aca="1" ref="J14" ca="1">INDIRECT("'" &amp; $M$4 &amp; "'!N5")</f>
        <v>Ingredient4</v>
      </c>
      <c r="K14" s="7" t="str" cm="1">
        <f t="array" aca="1" ref="K14" ca="1">INDIRECT("'" &amp; $M$4 &amp; "'!O5")</f>
        <v>Ingredient5</v>
      </c>
    </row>
    <row r="15" spans="1:13" ht="35" customHeight="1" x14ac:dyDescent="0.2">
      <c r="A15" s="4" t="s">
        <v>58</v>
      </c>
      <c r="B15" s="5" cm="1">
        <f t="array" aca="1" ref="B15" ca="1">INDIRECT("'" &amp; $M$4 &amp; "'!S36")</f>
        <v>0</v>
      </c>
      <c r="C15" s="4" t="s">
        <v>37</v>
      </c>
      <c r="D15" s="5" cm="1">
        <f t="array" aca="1" ref="D15" ca="1">INDIRECT("'" &amp; $M$4 &amp; "'!T36")</f>
        <v>0</v>
      </c>
      <c r="E15" s="4" t="s">
        <v>22</v>
      </c>
      <c r="F15" s="5" cm="1">
        <f t="array" aca="1" ref="F15" ca="1">INDIRECT("'" &amp; $M$4 &amp; "'!U36")</f>
        <v>0</v>
      </c>
      <c r="G15" s="95" cm="1">
        <f t="array" aca="1" ref="G15" ca="1">INDIRECT("'" &amp; $M$4 &amp; "'!K26")</f>
        <v>0</v>
      </c>
      <c r="H15" s="95" cm="1">
        <f t="array" aca="1" ref="H15" ca="1">INDIRECT("'" &amp; $M$4 &amp; "'!K27")</f>
        <v>0</v>
      </c>
      <c r="I15" s="95" cm="1">
        <f t="array" aca="1" ref="I15" ca="1">INDIRECT("'" &amp; $M$4 &amp; "'!K28")</f>
        <v>0</v>
      </c>
      <c r="J15" s="95" cm="1">
        <f t="array" aca="1" ref="J15" ca="1">INDIRECT("'" &amp; $M$4 &amp; "'!K29")</f>
        <v>0</v>
      </c>
      <c r="K15" s="95" cm="1">
        <f t="array" aca="1" ref="K15" ca="1">INDIRECT("'" &amp; $M$4 &amp; "'!K30")</f>
        <v>0</v>
      </c>
    </row>
    <row r="16" spans="1:13" ht="35" customHeight="1" x14ac:dyDescent="0.2">
      <c r="A16" s="4" t="s">
        <v>23</v>
      </c>
      <c r="B16" s="5" cm="1">
        <f t="array" aca="1" ref="B16" ca="1">INDIRECT("'" &amp; $M$4 &amp; "'!V36")</f>
        <v>0</v>
      </c>
      <c r="C16" s="4" t="s">
        <v>38</v>
      </c>
      <c r="D16" s="5" cm="1">
        <f t="array" aca="1" ref="D16" ca="1">INDIRECT("'" &amp; $M$4 &amp; "'!W36")</f>
        <v>0</v>
      </c>
      <c r="E16" s="4" t="s">
        <v>39</v>
      </c>
      <c r="F16" s="5" cm="1">
        <f t="array" aca="1" ref="F16" ca="1">INDIRECT("'" &amp; $M$4 &amp; "'!X36")</f>
        <v>0</v>
      </c>
      <c r="G16" s="95"/>
      <c r="H16" s="95"/>
      <c r="I16" s="95"/>
      <c r="J16" s="95"/>
      <c r="K16" s="95"/>
    </row>
    <row r="17" spans="1:11" ht="35" customHeight="1" x14ac:dyDescent="0.2">
      <c r="A17" s="4" t="s">
        <v>40</v>
      </c>
      <c r="B17" s="5" cm="1">
        <f t="array" aca="1" ref="B17" ca="1">INDIRECT("'" &amp; $M$4 &amp; "'!Y36")</f>
        <v>0</v>
      </c>
      <c r="C17" s="4" t="s">
        <v>41</v>
      </c>
      <c r="D17" s="5" cm="1">
        <f t="array" aca="1" ref="D17" ca="1">INDIRECT("'" &amp; $M$4 &amp; "'!Z36")</f>
        <v>0</v>
      </c>
      <c r="E17" s="4"/>
      <c r="F17" s="5">
        <v>0</v>
      </c>
      <c r="G17" s="7" t="str" cm="1">
        <f t="array" aca="1" ref="G17" ca="1">INDIRECT("'" &amp; $M$4 &amp; "'!P5")</f>
        <v>Ingredient6</v>
      </c>
      <c r="H17" s="7" t="str" cm="1">
        <f t="array" aca="1" ref="H17" ca="1">INDIRECT("'" &amp; $M$4 &amp; "'!Q5")</f>
        <v>Ingredient7</v>
      </c>
      <c r="I17" s="7" t="str" cm="1">
        <f t="array" aca="1" ref="I17" ca="1">INDIRECT("'" &amp; $M$4 &amp; "'!R5")</f>
        <v>Ingredient8</v>
      </c>
      <c r="J17" s="7" t="str" cm="1">
        <f t="array" aca="1" ref="J17" ca="1">INDIRECT("'" &amp; $M$4 &amp; "'!S5")</f>
        <v>Ingredient9</v>
      </c>
      <c r="K17" s="7" t="str" cm="1">
        <f t="array" aca="1" ref="K17" ca="1">INDIRECT("'" &amp; $M$4 &amp; "'!T5")</f>
        <v>Ingredient10</v>
      </c>
    </row>
    <row r="18" spans="1:11" ht="35" customHeight="1" x14ac:dyDescent="0.2">
      <c r="A18" s="9" t="s">
        <v>128</v>
      </c>
      <c r="B18" s="5" cm="1">
        <f t="array" aca="1" ref="B18" ca="1">INDIRECT("'" &amp; $M$4 &amp; "'!B36")</f>
        <v>0</v>
      </c>
      <c r="C18" s="9" t="s">
        <v>130</v>
      </c>
      <c r="D18" s="5" cm="1">
        <f t="array" aca="1" ref="D18" ca="1">INDIRECT("'" &amp; $M$4 &amp; "'!C36")</f>
        <v>0</v>
      </c>
      <c r="E18" s="9" t="s">
        <v>133</v>
      </c>
      <c r="F18" s="5" cm="1">
        <f t="array" aca="1" ref="F18" ca="1">INDIRECT("'" &amp; $M$4 &amp; "'!D36")</f>
        <v>0</v>
      </c>
      <c r="G18" s="95" cm="1">
        <f t="array" aca="1" ref="G18" ca="1">INDIRECT("'" &amp; $M$4 &amp; "'!K31")</f>
        <v>0</v>
      </c>
      <c r="H18" s="95" cm="1">
        <f t="array" aca="1" ref="H18" ca="1">INDIRECT("'" &amp; $M$4 &amp; "'!K32")</f>
        <v>0</v>
      </c>
      <c r="I18" s="95" cm="1">
        <f t="array" aca="1" ref="I18" ca="1">INDIRECT("'" &amp; $M$4 &amp; "'!K33")</f>
        <v>0</v>
      </c>
      <c r="J18" s="95" cm="1">
        <f t="array" aca="1" ref="J18" ca="1">INDIRECT("'" &amp; $M$4 &amp; "'!K34")</f>
        <v>0</v>
      </c>
      <c r="K18" s="95" cm="1">
        <f t="array" aca="1" ref="K18" ca="1">INDIRECT("'" &amp; $M$4 &amp; "'!K35")</f>
        <v>0</v>
      </c>
    </row>
    <row r="19" spans="1:11" ht="35" customHeight="1" x14ac:dyDescent="0.2">
      <c r="A19" s="9" t="s">
        <v>135</v>
      </c>
      <c r="B19" s="5" cm="1">
        <f t="array" aca="1" ref="B19" ca="1">INDIRECT("'" &amp; $M$4 &amp; "'!E36")</f>
        <v>0</v>
      </c>
      <c r="C19" s="9" t="s">
        <v>138</v>
      </c>
      <c r="D19" s="5" cm="1">
        <f t="array" aca="1" ref="D19" ca="1">INDIRECT("'" &amp; $M$4 &amp; "'!F36")</f>
        <v>0</v>
      </c>
      <c r="E19" s="9" t="s">
        <v>140</v>
      </c>
      <c r="F19" s="5" cm="1">
        <f t="array" aca="1" ref="F19" ca="1">INDIRECT("'" &amp; $M$4 &amp; "'!G36")</f>
        <v>0</v>
      </c>
      <c r="G19" s="95"/>
      <c r="H19" s="95"/>
      <c r="I19" s="95"/>
      <c r="J19" s="95"/>
      <c r="K19" s="95"/>
    </row>
    <row r="20" spans="1:11" ht="35" customHeight="1" x14ac:dyDescent="0.2">
      <c r="A20" s="98" t="s">
        <v>42</v>
      </c>
      <c r="B20" s="99"/>
      <c r="C20" s="99"/>
      <c r="D20" s="99"/>
      <c r="E20" s="99"/>
      <c r="F20" s="5" cm="1">
        <f t="array" aca="1" ref="F20" ca="1">INDIRECT("'" &amp; $M$4 &amp; "'!L36")</f>
        <v>0</v>
      </c>
      <c r="G20" s="95"/>
      <c r="H20" s="95"/>
      <c r="I20" s="95"/>
      <c r="J20" s="95"/>
      <c r="K20" s="95"/>
    </row>
    <row r="21" spans="1:11" ht="35" customHeight="1" x14ac:dyDescent="0.2">
      <c r="A21" s="3" t="s">
        <v>0</v>
      </c>
      <c r="B21" s="96" t="str" cm="1">
        <f t="array" aca="1" ref="B21" ca="1">INDIRECT("'" &amp; $M$5 &amp; "'!c1")</f>
        <v>Your Menu Name</v>
      </c>
      <c r="C21" s="96"/>
      <c r="D21" s="96"/>
      <c r="E21" s="96"/>
      <c r="F21" s="96"/>
      <c r="G21" s="96"/>
      <c r="H21" s="96"/>
      <c r="I21" s="96"/>
      <c r="J21" s="96"/>
      <c r="K21" s="96"/>
    </row>
    <row r="22" spans="1:11" ht="35" customHeight="1" x14ac:dyDescent="0.2">
      <c r="A22" s="4" t="s">
        <v>17</v>
      </c>
      <c r="B22" s="5" cm="1">
        <f t="array" aca="1" ref="B22" ca="1">INDIRECT("'" &amp; $M$5 &amp; "'!M36")</f>
        <v>0</v>
      </c>
      <c r="C22" s="4" t="s">
        <v>49</v>
      </c>
      <c r="D22" s="5" cm="1">
        <f t="array" aca="1" ref="D22" ca="1">INDIRECT("'" &amp; $M$5 &amp; "'!N36")</f>
        <v>0</v>
      </c>
      <c r="E22" s="4" t="s">
        <v>18</v>
      </c>
      <c r="F22" s="5" cm="1">
        <f t="array" aca="1" ref="F22" ca="1">INDIRECT("'" &amp; $M$5 &amp; "'!O36")</f>
        <v>0</v>
      </c>
      <c r="G22" s="97" t="s">
        <v>33</v>
      </c>
      <c r="H22" s="97"/>
      <c r="I22" s="97"/>
      <c r="J22" s="97"/>
      <c r="K22" s="97"/>
    </row>
    <row r="23" spans="1:11" ht="35" customHeight="1" x14ac:dyDescent="0.2">
      <c r="A23" s="4" t="s">
        <v>19</v>
      </c>
      <c r="B23" s="5" cm="1">
        <f t="array" aca="1" ref="B23" ca="1">INDIRECT("'" &amp; $M$5 &amp; "'!P36")</f>
        <v>0</v>
      </c>
      <c r="C23" s="4" t="s">
        <v>35</v>
      </c>
      <c r="D23" s="5" cm="1">
        <f t="array" aca="1" ref="D23" ca="1">INDIRECT("'" &amp; $M$5 &amp; "'!Q36")</f>
        <v>0</v>
      </c>
      <c r="E23" s="4" t="s">
        <v>36</v>
      </c>
      <c r="F23" s="5" cm="1">
        <f t="array" aca="1" ref="F23" ca="1">INDIRECT("'" &amp; $M$5 &amp; "'!R36")</f>
        <v>0</v>
      </c>
      <c r="G23" s="7" t="str" cm="1">
        <f t="array" aca="1" ref="G23" ca="1">INDIRECT("'" &amp; $M$5 &amp; "'!K5")</f>
        <v>Ingredient1</v>
      </c>
      <c r="H23" s="7" t="str" cm="1">
        <f t="array" aca="1" ref="H23" ca="1">INDIRECT("'" &amp; $M$5 &amp; "'!L5")</f>
        <v>Ingredient2</v>
      </c>
      <c r="I23" s="7" t="str" cm="1">
        <f t="array" aca="1" ref="I23" ca="1">INDIRECT("'" &amp; $M$5 &amp; "'!M5")</f>
        <v>Ingredient3</v>
      </c>
      <c r="J23" s="7" t="str" cm="1">
        <f t="array" aca="1" ref="J23" ca="1">INDIRECT("'" &amp; $M$5 &amp; "'!N5")</f>
        <v>Ingredient4</v>
      </c>
      <c r="K23" s="7" t="str" cm="1">
        <f t="array" aca="1" ref="K23" ca="1">INDIRECT("'" &amp; $M$5 &amp; "'!O5")</f>
        <v>Ingredient5</v>
      </c>
    </row>
    <row r="24" spans="1:11" ht="35" customHeight="1" x14ac:dyDescent="0.2">
      <c r="A24" s="4" t="s">
        <v>58</v>
      </c>
      <c r="B24" s="5" cm="1">
        <f t="array" aca="1" ref="B24" ca="1">INDIRECT("'" &amp; $M$5 &amp; "'!S36")</f>
        <v>0</v>
      </c>
      <c r="C24" s="4" t="s">
        <v>37</v>
      </c>
      <c r="D24" s="5" cm="1">
        <f t="array" aca="1" ref="D24" ca="1">INDIRECT("'" &amp; $M$5 &amp; "'!T36")</f>
        <v>0</v>
      </c>
      <c r="E24" s="4" t="s">
        <v>22</v>
      </c>
      <c r="F24" s="5" cm="1">
        <f t="array" aca="1" ref="F24" ca="1">INDIRECT("'" &amp; $M$5 &amp; "'!U36")</f>
        <v>0</v>
      </c>
      <c r="G24" s="95" cm="1">
        <f t="array" aca="1" ref="G24" ca="1">INDIRECT("'" &amp; $M$5 &amp; "'!K26")</f>
        <v>0</v>
      </c>
      <c r="H24" s="95" cm="1">
        <f t="array" aca="1" ref="H24" ca="1">INDIRECT("'" &amp; $M$5 &amp; "'!K27")</f>
        <v>0</v>
      </c>
      <c r="I24" s="95" cm="1">
        <f t="array" aca="1" ref="I24" ca="1">INDIRECT("'" &amp; $M$5 &amp; "'!K28")</f>
        <v>0</v>
      </c>
      <c r="J24" s="95" cm="1">
        <f t="array" aca="1" ref="J24" ca="1">INDIRECT("'" &amp; $M$5 &amp; "'!K29")</f>
        <v>0</v>
      </c>
      <c r="K24" s="95" cm="1">
        <f t="array" aca="1" ref="K24" ca="1">INDIRECT("'" &amp; $M$5 &amp; "'!K30")</f>
        <v>0</v>
      </c>
    </row>
    <row r="25" spans="1:11" ht="35" customHeight="1" x14ac:dyDescent="0.2">
      <c r="A25" s="4" t="s">
        <v>23</v>
      </c>
      <c r="B25" s="5" cm="1">
        <f t="array" aca="1" ref="B25" ca="1">INDIRECT("'" &amp; $M$5 &amp; "'!V36")</f>
        <v>0</v>
      </c>
      <c r="C25" s="4" t="s">
        <v>38</v>
      </c>
      <c r="D25" s="5" cm="1">
        <f t="array" aca="1" ref="D25" ca="1">INDIRECT("'" &amp; $M$5 &amp; "'!W36")</f>
        <v>0</v>
      </c>
      <c r="E25" s="4" t="s">
        <v>39</v>
      </c>
      <c r="F25" s="5" cm="1">
        <f t="array" aca="1" ref="F25" ca="1">INDIRECT("'" &amp; $M$5 &amp; "'!X36")</f>
        <v>0</v>
      </c>
      <c r="G25" s="95"/>
      <c r="H25" s="95"/>
      <c r="I25" s="95"/>
      <c r="J25" s="95"/>
      <c r="K25" s="95"/>
    </row>
    <row r="26" spans="1:11" ht="35" customHeight="1" x14ac:dyDescent="0.2">
      <c r="A26" s="4" t="s">
        <v>40</v>
      </c>
      <c r="B26" s="5" cm="1">
        <f t="array" aca="1" ref="B26" ca="1">INDIRECT("'" &amp; $M$5 &amp; "'!Y36")</f>
        <v>0</v>
      </c>
      <c r="C26" s="4" t="s">
        <v>41</v>
      </c>
      <c r="D26" s="5" cm="1">
        <f t="array" aca="1" ref="D26" ca="1">INDIRECT("'" &amp; $M$5 &amp; "'!Z36")</f>
        <v>0</v>
      </c>
      <c r="E26" s="4"/>
      <c r="F26" s="5">
        <v>0</v>
      </c>
      <c r="G26" s="7" t="str" cm="1">
        <f t="array" aca="1" ref="G26" ca="1">INDIRECT("'" &amp; $M$5 &amp; "'!P5")</f>
        <v>Ingredient6</v>
      </c>
      <c r="H26" s="7" t="str" cm="1">
        <f t="array" aca="1" ref="H26" ca="1">INDIRECT("'" &amp; $M$5 &amp; "'!Q5")</f>
        <v>Ingredient7</v>
      </c>
      <c r="I26" s="7" t="str" cm="1">
        <f t="array" aca="1" ref="I26" ca="1">INDIRECT("'" &amp; $M$5 &amp; "'!R5")</f>
        <v>Ingredient8</v>
      </c>
      <c r="J26" s="7" t="str" cm="1">
        <f t="array" aca="1" ref="J26" ca="1">INDIRECT("'" &amp; $M$5 &amp; "'!S5")</f>
        <v>Ingredient9</v>
      </c>
      <c r="K26" s="7" t="str" cm="1">
        <f t="array" aca="1" ref="K26" ca="1">INDIRECT("'" &amp; $M$5 &amp; "'!T5")</f>
        <v>Ingredient10</v>
      </c>
    </row>
    <row r="27" spans="1:11" ht="35" customHeight="1" x14ac:dyDescent="0.2">
      <c r="A27" s="9" t="s">
        <v>128</v>
      </c>
      <c r="B27" s="5" cm="1">
        <f t="array" aca="1" ref="B27" ca="1">INDIRECT("'" &amp; $M$5 &amp; "'!B36")</f>
        <v>0</v>
      </c>
      <c r="C27" s="9" t="s">
        <v>130</v>
      </c>
      <c r="D27" s="5" cm="1">
        <f t="array" aca="1" ref="D27" ca="1">INDIRECT("'" &amp; $M$5 &amp; "'!C36")</f>
        <v>0</v>
      </c>
      <c r="E27" s="9" t="s">
        <v>133</v>
      </c>
      <c r="F27" s="5" cm="1">
        <f t="array" aca="1" ref="F27" ca="1">INDIRECT("'" &amp; $M$5 &amp; "'!D36")</f>
        <v>0</v>
      </c>
      <c r="G27" s="95" cm="1">
        <f t="array" aca="1" ref="G27" ca="1">INDIRECT("'" &amp; $M$5 &amp; "'!K31")</f>
        <v>0</v>
      </c>
      <c r="H27" s="95" cm="1">
        <f t="array" aca="1" ref="H27" ca="1">INDIRECT("'" &amp; $M$5 &amp; "'!K32")</f>
        <v>0</v>
      </c>
      <c r="I27" s="95" cm="1">
        <f t="array" aca="1" ref="I27" ca="1">INDIRECT("'" &amp; $M$5 &amp; "'!K33")</f>
        <v>0</v>
      </c>
      <c r="J27" s="95" cm="1">
        <f t="array" aca="1" ref="J27" ca="1">INDIRECT("'" &amp; $M$5 &amp; "'!K34")</f>
        <v>0</v>
      </c>
      <c r="K27" s="95" cm="1">
        <f t="array" aca="1" ref="K27" ca="1">INDIRECT("'" &amp; $M$5 &amp; "'!K35")</f>
        <v>0</v>
      </c>
    </row>
    <row r="28" spans="1:11" ht="35" customHeight="1" x14ac:dyDescent="0.2">
      <c r="A28" s="9" t="s">
        <v>135</v>
      </c>
      <c r="B28" s="5" cm="1">
        <f t="array" aca="1" ref="B28" ca="1">INDIRECT("'" &amp; $M$5 &amp; "'!E36")</f>
        <v>0</v>
      </c>
      <c r="C28" s="9" t="s">
        <v>138</v>
      </c>
      <c r="D28" s="5" cm="1">
        <f t="array" aca="1" ref="D28" ca="1">INDIRECT("'" &amp; $M$5 &amp; "'!F36")</f>
        <v>0</v>
      </c>
      <c r="E28" s="9" t="s">
        <v>140</v>
      </c>
      <c r="F28" s="5" cm="1">
        <f t="array" aca="1" ref="F28" ca="1">INDIRECT("'" &amp; $M$5 &amp; "'!G36")</f>
        <v>0</v>
      </c>
      <c r="G28" s="95"/>
      <c r="H28" s="95"/>
      <c r="I28" s="95"/>
      <c r="J28" s="95"/>
      <c r="K28" s="95"/>
    </row>
    <row r="29" spans="1:11" ht="35" customHeight="1" x14ac:dyDescent="0.2">
      <c r="A29" s="98" t="s">
        <v>42</v>
      </c>
      <c r="B29" s="99"/>
      <c r="C29" s="99"/>
      <c r="D29" s="99"/>
      <c r="E29" s="99"/>
      <c r="F29" s="5" cm="1">
        <f t="array" aca="1" ref="F29" ca="1">INDIRECT("'" &amp; $M$5 &amp; "'!L36")</f>
        <v>0</v>
      </c>
      <c r="G29" s="95"/>
      <c r="H29" s="95"/>
      <c r="I29" s="95"/>
      <c r="J29" s="95"/>
      <c r="K29" s="95"/>
    </row>
    <row r="30" spans="1:11" ht="35" customHeight="1" x14ac:dyDescent="0.2">
      <c r="A30" s="3" t="s">
        <v>0</v>
      </c>
      <c r="B30" s="96" t="str" cm="1">
        <f t="array" aca="1" ref="B30" ca="1">INDIRECT("'" &amp; $M$6 &amp; "'!c1")</f>
        <v>Your Menu Name</v>
      </c>
      <c r="C30" s="96"/>
      <c r="D30" s="96"/>
      <c r="E30" s="96"/>
      <c r="F30" s="96"/>
      <c r="G30" s="96"/>
      <c r="H30" s="96"/>
      <c r="I30" s="96"/>
      <c r="J30" s="96"/>
      <c r="K30" s="96"/>
    </row>
    <row r="31" spans="1:11" ht="35" customHeight="1" x14ac:dyDescent="0.2">
      <c r="A31" s="4" t="s">
        <v>17</v>
      </c>
      <c r="B31" s="5" cm="1">
        <f t="array" aca="1" ref="B31" ca="1">INDIRECT("'" &amp; $M$6 &amp; "'!M36")</f>
        <v>0</v>
      </c>
      <c r="C31" s="4" t="s">
        <v>49</v>
      </c>
      <c r="D31" s="5" cm="1">
        <f t="array" aca="1" ref="D31" ca="1">INDIRECT("'" &amp; $M$6 &amp; "'!N36")</f>
        <v>0</v>
      </c>
      <c r="E31" s="4" t="s">
        <v>18</v>
      </c>
      <c r="F31" s="5" cm="1">
        <f t="array" aca="1" ref="F31" ca="1">INDIRECT("'" &amp; $M$6 &amp; "'!O36")</f>
        <v>0</v>
      </c>
      <c r="G31" s="97" t="s">
        <v>33</v>
      </c>
      <c r="H31" s="97"/>
      <c r="I31" s="97"/>
      <c r="J31" s="97"/>
      <c r="K31" s="97"/>
    </row>
    <row r="32" spans="1:11" ht="35" customHeight="1" x14ac:dyDescent="0.2">
      <c r="A32" s="4" t="s">
        <v>19</v>
      </c>
      <c r="B32" s="5" cm="1">
        <f t="array" aca="1" ref="B32" ca="1">INDIRECT("'" &amp; $M$6 &amp; "'!P36")</f>
        <v>0</v>
      </c>
      <c r="C32" s="4" t="s">
        <v>35</v>
      </c>
      <c r="D32" s="5" cm="1">
        <f t="array" aca="1" ref="D32" ca="1">INDIRECT("'" &amp; $M$6 &amp; "'!Q36")</f>
        <v>0</v>
      </c>
      <c r="E32" s="4" t="s">
        <v>36</v>
      </c>
      <c r="F32" s="5" cm="1">
        <f t="array" aca="1" ref="F32" ca="1">INDIRECT("'" &amp; $M$6 &amp; "'!R36")</f>
        <v>0</v>
      </c>
      <c r="G32" s="7" t="str" cm="1">
        <f t="array" aca="1" ref="G32" ca="1">INDIRECT("'" &amp; $M$6 &amp; "'!K5")</f>
        <v>Ingredient1</v>
      </c>
      <c r="H32" s="7" t="str" cm="1">
        <f t="array" aca="1" ref="H32" ca="1">INDIRECT("'" &amp; $M$6 &amp; "'!L5")</f>
        <v>Ingredient2</v>
      </c>
      <c r="I32" s="7" t="str" cm="1">
        <f t="array" aca="1" ref="I32" ca="1">INDIRECT("'" &amp; $M$6 &amp; "'!M5")</f>
        <v>Ingredient3</v>
      </c>
      <c r="J32" s="7" t="str" cm="1">
        <f t="array" aca="1" ref="J32" ca="1">INDIRECT("'" &amp; $M$6 &amp; "'!N5")</f>
        <v>Ingredient4</v>
      </c>
      <c r="K32" s="7" t="str" cm="1">
        <f t="array" aca="1" ref="K32" ca="1">INDIRECT("'" &amp; $M$6 &amp; "'!O5")</f>
        <v>Ingredient5</v>
      </c>
    </row>
    <row r="33" spans="1:11" ht="35" customHeight="1" x14ac:dyDescent="0.2">
      <c r="A33" s="4" t="s">
        <v>58</v>
      </c>
      <c r="B33" s="5" cm="1">
        <f t="array" aca="1" ref="B33" ca="1">INDIRECT("'" &amp; $M$6 &amp; "'!S36")</f>
        <v>0</v>
      </c>
      <c r="C33" s="4" t="s">
        <v>37</v>
      </c>
      <c r="D33" s="5" cm="1">
        <f t="array" aca="1" ref="D33" ca="1">INDIRECT("'" &amp; $M$6 &amp; "'!T36")</f>
        <v>0</v>
      </c>
      <c r="E33" s="4" t="s">
        <v>22</v>
      </c>
      <c r="F33" s="5" cm="1">
        <f t="array" aca="1" ref="F33" ca="1">INDIRECT("'" &amp; $M$6 &amp; "'!U36")</f>
        <v>0</v>
      </c>
      <c r="G33" s="95" cm="1">
        <f t="array" aca="1" ref="G33" ca="1">INDIRECT("'" &amp; $M$6 &amp; "'!K26")</f>
        <v>0</v>
      </c>
      <c r="H33" s="95" cm="1">
        <f t="array" aca="1" ref="H33" ca="1">INDIRECT("'" &amp; $M$6 &amp; "'!K27")</f>
        <v>0</v>
      </c>
      <c r="I33" s="95" cm="1">
        <f t="array" aca="1" ref="I33" ca="1">INDIRECT("'" &amp; $M$6 &amp; "'!K28")</f>
        <v>0</v>
      </c>
      <c r="J33" s="95" cm="1">
        <f t="array" aca="1" ref="J33" ca="1">INDIRECT("'" &amp; $M$6 &amp; "'!K29")</f>
        <v>0</v>
      </c>
      <c r="K33" s="95" cm="1">
        <f t="array" aca="1" ref="K33" ca="1">INDIRECT("'" &amp; $M$6 &amp; "'!K30")</f>
        <v>0</v>
      </c>
    </row>
    <row r="34" spans="1:11" ht="35" customHeight="1" x14ac:dyDescent="0.2">
      <c r="A34" s="4" t="s">
        <v>23</v>
      </c>
      <c r="B34" s="5" cm="1">
        <f t="array" aca="1" ref="B34" ca="1">INDIRECT("'" &amp; $M$6 &amp; "'!V36")</f>
        <v>0</v>
      </c>
      <c r="C34" s="4" t="s">
        <v>38</v>
      </c>
      <c r="D34" s="5" cm="1">
        <f t="array" aca="1" ref="D34" ca="1">INDIRECT("'" &amp; $M$6 &amp; "'!W36")</f>
        <v>0</v>
      </c>
      <c r="E34" s="4" t="s">
        <v>39</v>
      </c>
      <c r="F34" s="5" cm="1">
        <f t="array" aca="1" ref="F34" ca="1">INDIRECT("'" &amp; $M$6 &amp; "'!X36")</f>
        <v>0</v>
      </c>
      <c r="G34" s="95"/>
      <c r="H34" s="95"/>
      <c r="I34" s="95"/>
      <c r="J34" s="95"/>
      <c r="K34" s="95"/>
    </row>
    <row r="35" spans="1:11" ht="35" customHeight="1" x14ac:dyDescent="0.2">
      <c r="A35" s="4" t="s">
        <v>40</v>
      </c>
      <c r="B35" s="5" cm="1">
        <f t="array" aca="1" ref="B35" ca="1">INDIRECT("'" &amp; $M$6 &amp; "'!Y36")</f>
        <v>0</v>
      </c>
      <c r="C35" s="4" t="s">
        <v>41</v>
      </c>
      <c r="D35" s="5" cm="1">
        <f t="array" aca="1" ref="D35" ca="1">INDIRECT("'" &amp; $M$6 &amp; "'!Z36")</f>
        <v>0</v>
      </c>
      <c r="E35" s="4"/>
      <c r="F35" s="5">
        <v>0</v>
      </c>
      <c r="G35" s="7" t="str" cm="1">
        <f t="array" aca="1" ref="G35" ca="1">INDIRECT("'" &amp; $M$6 &amp; "'!P5")</f>
        <v>Ingredient6</v>
      </c>
      <c r="H35" s="7" t="str" cm="1">
        <f t="array" aca="1" ref="H35" ca="1">INDIRECT("'" &amp; $M$6 &amp; "'!Q5")</f>
        <v>Ingredient7</v>
      </c>
      <c r="I35" s="7" t="str" cm="1">
        <f t="array" aca="1" ref="I35" ca="1">INDIRECT("'" &amp; $M$6 &amp; "'!R5")</f>
        <v>Ingredient8</v>
      </c>
      <c r="J35" s="7" t="str" cm="1">
        <f t="array" aca="1" ref="J35" ca="1">INDIRECT("'" &amp; $M$6 &amp; "'!S5")</f>
        <v>Ingredient9</v>
      </c>
      <c r="K35" s="7" t="str" cm="1">
        <f t="array" aca="1" ref="K35" ca="1">INDIRECT("'" &amp; $M$6 &amp; "'!T5")</f>
        <v>Ingredient10</v>
      </c>
    </row>
    <row r="36" spans="1:11" ht="35" customHeight="1" x14ac:dyDescent="0.2">
      <c r="A36" s="9" t="s">
        <v>128</v>
      </c>
      <c r="B36" s="5" cm="1">
        <f t="array" aca="1" ref="B36" ca="1">INDIRECT("'" &amp; $M$6 &amp; "'!B36")</f>
        <v>0</v>
      </c>
      <c r="C36" s="9" t="s">
        <v>130</v>
      </c>
      <c r="D36" s="5" cm="1">
        <f t="array" aca="1" ref="D36" ca="1">INDIRECT("'" &amp; $M$6 &amp; "'!C36")</f>
        <v>0</v>
      </c>
      <c r="E36" s="9" t="s">
        <v>133</v>
      </c>
      <c r="F36" s="5" cm="1">
        <f t="array" aca="1" ref="F36" ca="1">INDIRECT("'" &amp; $M$6 &amp; "'!D36")</f>
        <v>0</v>
      </c>
      <c r="G36" s="95" cm="1">
        <f t="array" aca="1" ref="G36" ca="1">INDIRECT("'" &amp; $M$6 &amp; "'!K31")</f>
        <v>0</v>
      </c>
      <c r="H36" s="95" cm="1">
        <f t="array" aca="1" ref="H36" ca="1">INDIRECT("'" &amp; $M$6 &amp; "'!K32")</f>
        <v>0</v>
      </c>
      <c r="I36" s="95" cm="1">
        <f t="array" aca="1" ref="I36" ca="1">INDIRECT("'" &amp; $M$6 &amp; "'!K33")</f>
        <v>0</v>
      </c>
      <c r="J36" s="95" cm="1">
        <f t="array" aca="1" ref="J36" ca="1">INDIRECT("'" &amp; $M$6 &amp; "'!K34")</f>
        <v>0</v>
      </c>
      <c r="K36" s="95" cm="1">
        <f t="array" aca="1" ref="K36" ca="1">INDIRECT("'" &amp; $M$6 &amp; "'!K35")</f>
        <v>0</v>
      </c>
    </row>
    <row r="37" spans="1:11" ht="35" customHeight="1" x14ac:dyDescent="0.2">
      <c r="A37" s="9" t="s">
        <v>135</v>
      </c>
      <c r="B37" s="5" cm="1">
        <f t="array" aca="1" ref="B37" ca="1">INDIRECT("'" &amp; $M$6 &amp; "'!E36")</f>
        <v>0</v>
      </c>
      <c r="C37" s="9" t="s">
        <v>138</v>
      </c>
      <c r="D37" s="5" cm="1">
        <f t="array" aca="1" ref="D37" ca="1">INDIRECT("'" &amp; $M$6 &amp; "'!F36")</f>
        <v>0</v>
      </c>
      <c r="E37" s="9" t="s">
        <v>140</v>
      </c>
      <c r="F37" s="5" cm="1">
        <f t="array" aca="1" ref="F37" ca="1">INDIRECT("'" &amp; $M$6 &amp; "'!G36")</f>
        <v>0</v>
      </c>
      <c r="G37" s="95"/>
      <c r="H37" s="95"/>
      <c r="I37" s="95"/>
      <c r="J37" s="95"/>
      <c r="K37" s="95"/>
    </row>
    <row r="38" spans="1:11" ht="35" customHeight="1" x14ac:dyDescent="0.2">
      <c r="A38" s="98" t="s">
        <v>42</v>
      </c>
      <c r="B38" s="99"/>
      <c r="C38" s="99"/>
      <c r="D38" s="99"/>
      <c r="E38" s="99"/>
      <c r="F38" s="5" cm="1">
        <f t="array" aca="1" ref="F38" ca="1">INDIRECT("'" &amp; $M$6 &amp; "'!L36")</f>
        <v>0</v>
      </c>
      <c r="G38" s="95"/>
      <c r="H38" s="95"/>
      <c r="I38" s="95"/>
      <c r="J38" s="95"/>
      <c r="K38" s="95"/>
    </row>
    <row r="39" spans="1:11" ht="35" customHeight="1" x14ac:dyDescent="0.2">
      <c r="A39" s="3" t="s">
        <v>0</v>
      </c>
      <c r="B39" s="96" t="str" cm="1">
        <f t="array" aca="1" ref="B39" ca="1">INDIRECT("'" &amp; $M$7 &amp; "'!c1")</f>
        <v>Your Menu Name</v>
      </c>
      <c r="C39" s="96"/>
      <c r="D39" s="96"/>
      <c r="E39" s="96"/>
      <c r="F39" s="96"/>
      <c r="G39" s="96"/>
      <c r="H39" s="96"/>
      <c r="I39" s="96"/>
      <c r="J39" s="96"/>
      <c r="K39" s="96"/>
    </row>
    <row r="40" spans="1:11" ht="35" customHeight="1" x14ac:dyDescent="0.2">
      <c r="A40" s="4" t="s">
        <v>17</v>
      </c>
      <c r="B40" s="5" cm="1">
        <f t="array" aca="1" ref="B40" ca="1">INDIRECT("'" &amp; $M$7 &amp; "'!M36")</f>
        <v>0</v>
      </c>
      <c r="C40" s="4" t="s">
        <v>49</v>
      </c>
      <c r="D40" s="5" cm="1">
        <f t="array" aca="1" ref="D40" ca="1">INDIRECT("'" &amp; $M$7 &amp; "'!N36")</f>
        <v>0</v>
      </c>
      <c r="E40" s="4" t="s">
        <v>18</v>
      </c>
      <c r="F40" s="5" cm="1">
        <f t="array" aca="1" ref="F40" ca="1">INDIRECT("'" &amp; $M$7 &amp; "'!O36")</f>
        <v>0</v>
      </c>
      <c r="G40" s="97" t="s">
        <v>33</v>
      </c>
      <c r="H40" s="97"/>
      <c r="I40" s="97"/>
      <c r="J40" s="97"/>
      <c r="K40" s="97"/>
    </row>
    <row r="41" spans="1:11" ht="35" customHeight="1" x14ac:dyDescent="0.2">
      <c r="A41" s="4" t="s">
        <v>19</v>
      </c>
      <c r="B41" s="5" cm="1">
        <f t="array" aca="1" ref="B41" ca="1">INDIRECT("'" &amp; $M$7 &amp; "'!P36")</f>
        <v>0</v>
      </c>
      <c r="C41" s="4" t="s">
        <v>35</v>
      </c>
      <c r="D41" s="5" cm="1">
        <f t="array" aca="1" ref="D41" ca="1">INDIRECT("'" &amp; $M$7 &amp; "'!Q36")</f>
        <v>0</v>
      </c>
      <c r="E41" s="4" t="s">
        <v>36</v>
      </c>
      <c r="F41" s="5" cm="1">
        <f t="array" aca="1" ref="F41" ca="1">INDIRECT("'" &amp; $M$7 &amp; "'!R36")</f>
        <v>0</v>
      </c>
      <c r="G41" s="7" t="str" cm="1">
        <f t="array" aca="1" ref="G41" ca="1">INDIRECT("'" &amp; $M$7 &amp; "'!K5")</f>
        <v>Ingredient1</v>
      </c>
      <c r="H41" s="7" t="str" cm="1">
        <f t="array" aca="1" ref="H41" ca="1">INDIRECT("'" &amp; $M$7 &amp; "'!L5")</f>
        <v>Ingredient2</v>
      </c>
      <c r="I41" s="7" t="str" cm="1">
        <f t="array" aca="1" ref="I41" ca="1">INDIRECT("'" &amp; $M$7 &amp; "'!M5")</f>
        <v>Ingredient3</v>
      </c>
      <c r="J41" s="7" t="str" cm="1">
        <f t="array" aca="1" ref="J41" ca="1">INDIRECT("'" &amp; $M$7 &amp; "'!N5")</f>
        <v>Ingredient4</v>
      </c>
      <c r="K41" s="7" t="str" cm="1">
        <f t="array" aca="1" ref="K41" ca="1">INDIRECT("'" &amp; $M$7 &amp; "'!O5")</f>
        <v>Ingredient5</v>
      </c>
    </row>
    <row r="42" spans="1:11" ht="35" customHeight="1" x14ac:dyDescent="0.2">
      <c r="A42" s="4" t="s">
        <v>58</v>
      </c>
      <c r="B42" s="5" cm="1">
        <f t="array" aca="1" ref="B42" ca="1">INDIRECT("'" &amp; $M$7 &amp; "'!S36")</f>
        <v>0</v>
      </c>
      <c r="C42" s="4" t="s">
        <v>37</v>
      </c>
      <c r="D42" s="5" cm="1">
        <f t="array" aca="1" ref="D42" ca="1">INDIRECT("'" &amp; $M$7 &amp; "'!T36")</f>
        <v>0</v>
      </c>
      <c r="E42" s="4" t="s">
        <v>22</v>
      </c>
      <c r="F42" s="5" cm="1">
        <f t="array" aca="1" ref="F42" ca="1">INDIRECT("'" &amp; $M$7 &amp; "'!U36")</f>
        <v>0</v>
      </c>
      <c r="G42" s="95" cm="1">
        <f t="array" aca="1" ref="G42" ca="1">INDIRECT("'" &amp; $M$7 &amp; "'!K26")</f>
        <v>0</v>
      </c>
      <c r="H42" s="95" cm="1">
        <f t="array" aca="1" ref="H42" ca="1">INDIRECT("'" &amp; $M$7 &amp; "'!K27")</f>
        <v>0</v>
      </c>
      <c r="I42" s="95" cm="1">
        <f t="array" aca="1" ref="I42" ca="1">INDIRECT("'" &amp; $M$7 &amp; "'!K28")</f>
        <v>0</v>
      </c>
      <c r="J42" s="95" cm="1">
        <f t="array" aca="1" ref="J42" ca="1">INDIRECT("'" &amp; $M$7 &amp; "'!K29")</f>
        <v>0</v>
      </c>
      <c r="K42" s="95" cm="1">
        <f t="array" aca="1" ref="K42" ca="1">INDIRECT("'" &amp; $M$7 &amp; "'!K30")</f>
        <v>0</v>
      </c>
    </row>
    <row r="43" spans="1:11" ht="35" customHeight="1" x14ac:dyDescent="0.2">
      <c r="A43" s="4" t="s">
        <v>23</v>
      </c>
      <c r="B43" s="5" cm="1">
        <f t="array" aca="1" ref="B43" ca="1">INDIRECT("'" &amp; $M$7 &amp; "'!V36")</f>
        <v>0</v>
      </c>
      <c r="C43" s="4" t="s">
        <v>38</v>
      </c>
      <c r="D43" s="5" cm="1">
        <f t="array" aca="1" ref="D43" ca="1">INDIRECT("'" &amp; $M$7 &amp; "'!W36")</f>
        <v>0</v>
      </c>
      <c r="E43" s="4" t="s">
        <v>39</v>
      </c>
      <c r="F43" s="5" cm="1">
        <f t="array" aca="1" ref="F43" ca="1">INDIRECT("'" &amp; $M$7 &amp; "'!X36")</f>
        <v>0</v>
      </c>
      <c r="G43" s="95"/>
      <c r="H43" s="95"/>
      <c r="I43" s="95"/>
      <c r="J43" s="95"/>
      <c r="K43" s="95"/>
    </row>
    <row r="44" spans="1:11" ht="35" customHeight="1" x14ac:dyDescent="0.2">
      <c r="A44" s="4" t="s">
        <v>40</v>
      </c>
      <c r="B44" s="5" cm="1">
        <f t="array" aca="1" ref="B44" ca="1">INDIRECT("'" &amp; $M$7 &amp; "'!Y36")</f>
        <v>0</v>
      </c>
      <c r="C44" s="4" t="s">
        <v>41</v>
      </c>
      <c r="D44" s="5" cm="1">
        <f t="array" aca="1" ref="D44" ca="1">INDIRECT("'" &amp; $M$7 &amp; "'!Z36")</f>
        <v>0</v>
      </c>
      <c r="E44" s="4"/>
      <c r="F44" s="5">
        <v>0</v>
      </c>
      <c r="G44" s="7" t="str" cm="1">
        <f t="array" aca="1" ref="G44" ca="1">INDIRECT("'" &amp; $M$7 &amp; "'!P5")</f>
        <v>Ingredient6</v>
      </c>
      <c r="H44" s="7" t="str" cm="1">
        <f t="array" aca="1" ref="H44" ca="1">INDIRECT("'" &amp; $M$7 &amp; "'!Q5")</f>
        <v>Ingredient7</v>
      </c>
      <c r="I44" s="7" t="str" cm="1">
        <f t="array" aca="1" ref="I44" ca="1">INDIRECT("'" &amp; $M$7 &amp; "'!R5")</f>
        <v>Ingredient8</v>
      </c>
      <c r="J44" s="7" t="str" cm="1">
        <f t="array" aca="1" ref="J44" ca="1">INDIRECT("'" &amp; $M$7 &amp; "'!S5")</f>
        <v>Ingredient9</v>
      </c>
      <c r="K44" s="7" t="str" cm="1">
        <f t="array" aca="1" ref="K44" ca="1">INDIRECT("'" &amp; $M$7 &amp; "'!T5")</f>
        <v>Ingredient10</v>
      </c>
    </row>
    <row r="45" spans="1:11" ht="35" customHeight="1" x14ac:dyDescent="0.2">
      <c r="A45" s="9" t="s">
        <v>128</v>
      </c>
      <c r="B45" s="5" cm="1">
        <f t="array" aca="1" ref="B45" ca="1">INDIRECT("'" &amp; $M$7 &amp; "'!B36")</f>
        <v>0</v>
      </c>
      <c r="C45" s="9" t="s">
        <v>130</v>
      </c>
      <c r="D45" s="5" cm="1">
        <f t="array" aca="1" ref="D45" ca="1">INDIRECT("'" &amp; $M$7 &amp; "'!C36")</f>
        <v>0</v>
      </c>
      <c r="E45" s="9" t="s">
        <v>133</v>
      </c>
      <c r="F45" s="5" cm="1">
        <f t="array" aca="1" ref="F45" ca="1">INDIRECT("'" &amp; $M$7 &amp; "'!D36")</f>
        <v>0</v>
      </c>
      <c r="G45" s="95" cm="1">
        <f t="array" aca="1" ref="G45" ca="1">INDIRECT("'" &amp; $M$7 &amp; "'!K31")</f>
        <v>0</v>
      </c>
      <c r="H45" s="95" cm="1">
        <f t="array" aca="1" ref="H45" ca="1">INDIRECT("'" &amp; $M$7 &amp; "'!K32")</f>
        <v>0</v>
      </c>
      <c r="I45" s="95" cm="1">
        <f t="array" aca="1" ref="I45" ca="1">INDIRECT("'" &amp; $M$7 &amp; "'!K33")</f>
        <v>0</v>
      </c>
      <c r="J45" s="95" cm="1">
        <f t="array" aca="1" ref="J45" ca="1">INDIRECT("'" &amp; $M$7 &amp; "'!K34")</f>
        <v>0</v>
      </c>
      <c r="K45" s="95" cm="1">
        <f t="array" aca="1" ref="K45" ca="1">INDIRECT("'" &amp; $M$7 &amp; "'!K35")</f>
        <v>0</v>
      </c>
    </row>
    <row r="46" spans="1:11" ht="35" customHeight="1" x14ac:dyDescent="0.2">
      <c r="A46" s="9" t="s">
        <v>135</v>
      </c>
      <c r="B46" s="5" cm="1">
        <f t="array" aca="1" ref="B46" ca="1">INDIRECT("'" &amp; $M$7 &amp; "'!E36")</f>
        <v>0</v>
      </c>
      <c r="C46" s="9" t="s">
        <v>138</v>
      </c>
      <c r="D46" s="5" cm="1">
        <f t="array" aca="1" ref="D46" ca="1">INDIRECT("'" &amp; $M$7 &amp; "'!F36")</f>
        <v>0</v>
      </c>
      <c r="E46" s="9" t="s">
        <v>140</v>
      </c>
      <c r="F46" s="5" cm="1">
        <f t="array" aca="1" ref="F46" ca="1">INDIRECT("'" &amp; $M$7 &amp; "'!G36")</f>
        <v>0</v>
      </c>
      <c r="G46" s="95"/>
      <c r="H46" s="95"/>
      <c r="I46" s="95"/>
      <c r="J46" s="95"/>
      <c r="K46" s="95"/>
    </row>
    <row r="47" spans="1:11" ht="35" customHeight="1" x14ac:dyDescent="0.2">
      <c r="A47" s="98" t="s">
        <v>42</v>
      </c>
      <c r="B47" s="99"/>
      <c r="C47" s="99"/>
      <c r="D47" s="99"/>
      <c r="E47" s="99"/>
      <c r="F47" s="5" cm="1">
        <f t="array" aca="1" ref="F47" ca="1">INDIRECT("'" &amp; $M$7 &amp; "'!L36")</f>
        <v>0</v>
      </c>
      <c r="G47" s="95"/>
      <c r="H47" s="95"/>
      <c r="I47" s="95"/>
      <c r="J47" s="95"/>
      <c r="K47" s="95"/>
    </row>
    <row r="48" spans="1:11" ht="35" customHeight="1" x14ac:dyDescent="0.2">
      <c r="A48" s="3" t="s">
        <v>0</v>
      </c>
      <c r="B48" s="96" t="str" cm="1">
        <f t="array" aca="1" ref="B48" ca="1">INDIRECT("'" &amp; $M$8 &amp; "'!c1")</f>
        <v>Your Menu Name</v>
      </c>
      <c r="C48" s="96"/>
      <c r="D48" s="96"/>
      <c r="E48" s="96"/>
      <c r="F48" s="96"/>
      <c r="G48" s="96"/>
      <c r="H48" s="96"/>
      <c r="I48" s="96"/>
      <c r="J48" s="96"/>
      <c r="K48" s="96"/>
    </row>
    <row r="49" spans="1:11" ht="35" customHeight="1" x14ac:dyDescent="0.2">
      <c r="A49" s="4" t="s">
        <v>17</v>
      </c>
      <c r="B49" s="5" cm="1">
        <f t="array" aca="1" ref="B49" ca="1">INDIRECT("'" &amp; $M$8 &amp; "'!M36")</f>
        <v>0</v>
      </c>
      <c r="C49" s="4" t="s">
        <v>49</v>
      </c>
      <c r="D49" s="5" cm="1">
        <f t="array" aca="1" ref="D49" ca="1">INDIRECT("'" &amp; $M$8 &amp; "'!N36")</f>
        <v>0</v>
      </c>
      <c r="E49" s="4" t="s">
        <v>18</v>
      </c>
      <c r="F49" s="5" cm="1">
        <f t="array" aca="1" ref="F49" ca="1">INDIRECT("'" &amp; $M$8 &amp; "'!O36")</f>
        <v>0</v>
      </c>
      <c r="G49" s="97" t="s">
        <v>33</v>
      </c>
      <c r="H49" s="97"/>
      <c r="I49" s="97"/>
      <c r="J49" s="97"/>
      <c r="K49" s="97"/>
    </row>
    <row r="50" spans="1:11" ht="35" customHeight="1" x14ac:dyDescent="0.2">
      <c r="A50" s="4" t="s">
        <v>19</v>
      </c>
      <c r="B50" s="5" cm="1">
        <f t="array" aca="1" ref="B50" ca="1">INDIRECT("'" &amp; $M$8 &amp; "'!P36")</f>
        <v>0</v>
      </c>
      <c r="C50" s="4" t="s">
        <v>35</v>
      </c>
      <c r="D50" s="5" cm="1">
        <f t="array" aca="1" ref="D50" ca="1">INDIRECT("'" &amp; $M$8 &amp; "'!Q36")</f>
        <v>0</v>
      </c>
      <c r="E50" s="4" t="s">
        <v>36</v>
      </c>
      <c r="F50" s="5" cm="1">
        <f t="array" aca="1" ref="F50" ca="1">INDIRECT("'" &amp; $M$8 &amp; "'!R36")</f>
        <v>0</v>
      </c>
      <c r="G50" s="7" t="str" cm="1">
        <f t="array" aca="1" ref="G50" ca="1">INDIRECT("'" &amp; $M$8 &amp; "'!K5")</f>
        <v>Ingredient1</v>
      </c>
      <c r="H50" s="7" t="str" cm="1">
        <f t="array" aca="1" ref="H50" ca="1">INDIRECT("'" &amp; $M$8 &amp; "'!L5")</f>
        <v>Ingredient2</v>
      </c>
      <c r="I50" s="7" t="str" cm="1">
        <f t="array" aca="1" ref="I50" ca="1">INDIRECT("'" &amp; $M$8 &amp; "'!M5")</f>
        <v>Ingredient3</v>
      </c>
      <c r="J50" s="7" t="str" cm="1">
        <f t="array" aca="1" ref="J50" ca="1">INDIRECT("'" &amp; $M$8 &amp; "'!N5")</f>
        <v>Ingredient4</v>
      </c>
      <c r="K50" s="7" t="str" cm="1">
        <f t="array" aca="1" ref="K50" ca="1">INDIRECT("'" &amp; $M$8 &amp; "'!O5")</f>
        <v>Ingredient5</v>
      </c>
    </row>
    <row r="51" spans="1:11" ht="35" customHeight="1" x14ac:dyDescent="0.2">
      <c r="A51" s="4" t="s">
        <v>58</v>
      </c>
      <c r="B51" s="5" cm="1">
        <f t="array" aca="1" ref="B51" ca="1">INDIRECT("'" &amp; $M$8 &amp; "'!S36")</f>
        <v>0</v>
      </c>
      <c r="C51" s="4" t="s">
        <v>37</v>
      </c>
      <c r="D51" s="5" cm="1">
        <f t="array" aca="1" ref="D51" ca="1">INDIRECT("'" &amp; $M$8 &amp; "'!T36")</f>
        <v>0</v>
      </c>
      <c r="E51" s="4" t="s">
        <v>22</v>
      </c>
      <c r="F51" s="5" cm="1">
        <f t="array" aca="1" ref="F51" ca="1">INDIRECT("'" &amp; $M$8 &amp; "'!U36")</f>
        <v>0</v>
      </c>
      <c r="G51" s="95" cm="1">
        <f t="array" aca="1" ref="G51" ca="1">INDIRECT("'" &amp; $M$8 &amp; "'!K26")</f>
        <v>0</v>
      </c>
      <c r="H51" s="95" cm="1">
        <f t="array" aca="1" ref="H51" ca="1">INDIRECT("'" &amp; $M$8 &amp; "'!K27")</f>
        <v>0</v>
      </c>
      <c r="I51" s="95" cm="1">
        <f t="array" aca="1" ref="I51" ca="1">INDIRECT("'" &amp; $M$8 &amp; "'!K28")</f>
        <v>0</v>
      </c>
      <c r="J51" s="95" cm="1">
        <f t="array" aca="1" ref="J51" ca="1">INDIRECT("'" &amp; $M$8 &amp; "'!K29")</f>
        <v>0</v>
      </c>
      <c r="K51" s="95" cm="1">
        <f t="array" aca="1" ref="K51" ca="1">INDIRECT("'" &amp; $M$8 &amp; "'!K30")</f>
        <v>0</v>
      </c>
    </row>
    <row r="52" spans="1:11" ht="35" customHeight="1" x14ac:dyDescent="0.2">
      <c r="A52" s="4" t="s">
        <v>23</v>
      </c>
      <c r="B52" s="5" cm="1">
        <f t="array" aca="1" ref="B52" ca="1">INDIRECT("'" &amp; $M$8 &amp; "'!V36")</f>
        <v>0</v>
      </c>
      <c r="C52" s="4" t="s">
        <v>38</v>
      </c>
      <c r="D52" s="5" cm="1">
        <f t="array" aca="1" ref="D52" ca="1">INDIRECT("'" &amp; $M$8 &amp; "'!W36")</f>
        <v>0</v>
      </c>
      <c r="E52" s="4" t="s">
        <v>39</v>
      </c>
      <c r="F52" s="5" cm="1">
        <f t="array" aca="1" ref="F52" ca="1">INDIRECT("'" &amp; $M$8 &amp; "'!X36")</f>
        <v>0</v>
      </c>
      <c r="G52" s="95"/>
      <c r="H52" s="95"/>
      <c r="I52" s="95"/>
      <c r="J52" s="95"/>
      <c r="K52" s="95"/>
    </row>
    <row r="53" spans="1:11" ht="35" customHeight="1" x14ac:dyDescent="0.2">
      <c r="A53" s="4" t="s">
        <v>40</v>
      </c>
      <c r="B53" s="5" cm="1">
        <f t="array" aca="1" ref="B53" ca="1">INDIRECT("'" &amp; $M$8 &amp; "'!Y36")</f>
        <v>0</v>
      </c>
      <c r="C53" s="4" t="s">
        <v>41</v>
      </c>
      <c r="D53" s="5" cm="1">
        <f t="array" aca="1" ref="D53" ca="1">INDIRECT("'" &amp; $M$8 &amp; "'!Z36")</f>
        <v>0</v>
      </c>
      <c r="E53" s="4"/>
      <c r="F53" s="5">
        <v>0</v>
      </c>
      <c r="G53" s="7" t="str" cm="1">
        <f t="array" aca="1" ref="G53" ca="1">INDIRECT("'" &amp; $M$8 &amp; "'!P5")</f>
        <v>Ingredient6</v>
      </c>
      <c r="H53" s="7" t="str" cm="1">
        <f t="array" aca="1" ref="H53" ca="1">INDIRECT("'" &amp; $M$8 &amp; "'!Q5")</f>
        <v>Ingredient7</v>
      </c>
      <c r="I53" s="7" t="str" cm="1">
        <f t="array" aca="1" ref="I53" ca="1">INDIRECT("'" &amp; $M$8 &amp; "'!R5")</f>
        <v>Ingredient8</v>
      </c>
      <c r="J53" s="7" t="str" cm="1">
        <f t="array" aca="1" ref="J53" ca="1">INDIRECT("'" &amp; $M$8 &amp; "'!S5")</f>
        <v>Ingredient9</v>
      </c>
      <c r="K53" s="7" t="str" cm="1">
        <f t="array" aca="1" ref="K53" ca="1">INDIRECT("'" &amp; $M$8 &amp; "'!T5")</f>
        <v>Ingredient10</v>
      </c>
    </row>
    <row r="54" spans="1:11" ht="35" customHeight="1" x14ac:dyDescent="0.2">
      <c r="A54" s="9" t="s">
        <v>128</v>
      </c>
      <c r="B54" s="5" cm="1">
        <f t="array" aca="1" ref="B54" ca="1">INDIRECT("'" &amp; $M$8 &amp; "'!B36")</f>
        <v>0</v>
      </c>
      <c r="C54" s="9" t="s">
        <v>130</v>
      </c>
      <c r="D54" s="5" cm="1">
        <f t="array" aca="1" ref="D54" ca="1">INDIRECT("'" &amp; $M$8 &amp; "'!C36")</f>
        <v>0</v>
      </c>
      <c r="E54" s="9" t="s">
        <v>133</v>
      </c>
      <c r="F54" s="5" cm="1">
        <f t="array" aca="1" ref="F54" ca="1">INDIRECT("'" &amp; $M$8 &amp; "'!D36")</f>
        <v>0</v>
      </c>
      <c r="G54" s="95" cm="1">
        <f t="array" aca="1" ref="G54" ca="1">INDIRECT("'" &amp; $M$8 &amp; "'!K31")</f>
        <v>0</v>
      </c>
      <c r="H54" s="95" cm="1">
        <f t="array" aca="1" ref="H54" ca="1">INDIRECT("'" &amp; $M$8 &amp; "'!K32")</f>
        <v>0</v>
      </c>
      <c r="I54" s="95" cm="1">
        <f t="array" aca="1" ref="I54" ca="1">INDIRECT("'" &amp; $M$8 &amp; "'!K33")</f>
        <v>0</v>
      </c>
      <c r="J54" s="95" cm="1">
        <f t="array" aca="1" ref="J54" ca="1">INDIRECT("'" &amp; $M$8 &amp; "'!K34")</f>
        <v>0</v>
      </c>
      <c r="K54" s="95" cm="1">
        <f t="array" aca="1" ref="K54" ca="1">INDIRECT("'" &amp; $M$8 &amp; "'!K35")</f>
        <v>0</v>
      </c>
    </row>
    <row r="55" spans="1:11" ht="35" customHeight="1" x14ac:dyDescent="0.2">
      <c r="A55" s="9" t="s">
        <v>135</v>
      </c>
      <c r="B55" s="5" cm="1">
        <f t="array" aca="1" ref="B55" ca="1">INDIRECT("'" &amp; $M$8 &amp; "'!E36")</f>
        <v>0</v>
      </c>
      <c r="C55" s="9" t="s">
        <v>138</v>
      </c>
      <c r="D55" s="5" cm="1">
        <f t="array" aca="1" ref="D55" ca="1">INDIRECT("'" &amp; $M$8 &amp; "'!F36")</f>
        <v>0</v>
      </c>
      <c r="E55" s="9" t="s">
        <v>140</v>
      </c>
      <c r="F55" s="5" cm="1">
        <f t="array" aca="1" ref="F55" ca="1">INDIRECT("'" &amp; $M$8 &amp; "'!G36")</f>
        <v>0</v>
      </c>
      <c r="G55" s="95"/>
      <c r="H55" s="95"/>
      <c r="I55" s="95"/>
      <c r="J55" s="95"/>
      <c r="K55" s="95"/>
    </row>
    <row r="56" spans="1:11" ht="35" customHeight="1" x14ac:dyDescent="0.2">
      <c r="A56" s="98" t="s">
        <v>42</v>
      </c>
      <c r="B56" s="99"/>
      <c r="C56" s="99"/>
      <c r="D56" s="99"/>
      <c r="E56" s="99"/>
      <c r="F56" s="5" cm="1">
        <f t="array" aca="1" ref="F56" ca="1">INDIRECT("'" &amp; $M$8 &amp; "'!L36")</f>
        <v>0</v>
      </c>
      <c r="G56" s="95"/>
      <c r="H56" s="95"/>
      <c r="I56" s="95"/>
      <c r="J56" s="95"/>
      <c r="K56" s="95"/>
    </row>
    <row r="65" s="1" customFormat="1" ht="35" customHeight="1" x14ac:dyDescent="0.2"/>
    <row r="66" s="1" customFormat="1" ht="35" customHeight="1" x14ac:dyDescent="0.2"/>
    <row r="67" s="1" customFormat="1" ht="35" customHeight="1" x14ac:dyDescent="0.2"/>
    <row r="68" s="1" customFormat="1" ht="35" customHeight="1" x14ac:dyDescent="0.2"/>
    <row r="69" s="1" customFormat="1" ht="35" customHeight="1" x14ac:dyDescent="0.2"/>
    <row r="70" s="1" customFormat="1" ht="35" customHeight="1" x14ac:dyDescent="0.2"/>
    <row r="71" s="1" customFormat="1" ht="35" customHeight="1" x14ac:dyDescent="0.2"/>
    <row r="72" s="1" customFormat="1" ht="35" customHeight="1" x14ac:dyDescent="0.2"/>
    <row r="73" s="1" customFormat="1" ht="35" customHeight="1" x14ac:dyDescent="0.2"/>
    <row r="74" s="1" customFormat="1" ht="35" customHeight="1" x14ac:dyDescent="0.2"/>
    <row r="75" s="1" customFormat="1" ht="35" customHeight="1" x14ac:dyDescent="0.2"/>
    <row r="76" s="1" customFormat="1" ht="35" customHeight="1" x14ac:dyDescent="0.2"/>
    <row r="77" s="1" customFormat="1" ht="35" customHeight="1" x14ac:dyDescent="0.2"/>
    <row r="78" s="1" customFormat="1" ht="35" customHeight="1" x14ac:dyDescent="0.2"/>
    <row r="79" s="1" customFormat="1" ht="35" customHeight="1" x14ac:dyDescent="0.2"/>
    <row r="80" s="1" customFormat="1" ht="35" customHeight="1" x14ac:dyDescent="0.2"/>
    <row r="81" s="1" customFormat="1" ht="35" customHeight="1" x14ac:dyDescent="0.2"/>
    <row r="82" s="1" customFormat="1" ht="35" customHeight="1" x14ac:dyDescent="0.2"/>
    <row r="83" s="1" customFormat="1" ht="35" customHeight="1" x14ac:dyDescent="0.2"/>
    <row r="84" s="1" customFormat="1" ht="35" customHeight="1" x14ac:dyDescent="0.2"/>
    <row r="85" s="1" customFormat="1" ht="35" customHeight="1" x14ac:dyDescent="0.2"/>
    <row r="86" s="1" customFormat="1" ht="35" customHeight="1" x14ac:dyDescent="0.2"/>
    <row r="87" s="1" customFormat="1" ht="35" customHeight="1" x14ac:dyDescent="0.2"/>
    <row r="88" s="1" customFormat="1" ht="35" customHeight="1" x14ac:dyDescent="0.2"/>
    <row r="89" s="1" customFormat="1" ht="35" customHeight="1" x14ac:dyDescent="0.2"/>
    <row r="90" s="1" customFormat="1" ht="35" customHeight="1" x14ac:dyDescent="0.2"/>
    <row r="91" s="1" customFormat="1" ht="35" customHeight="1" x14ac:dyDescent="0.2"/>
    <row r="92" s="1" customFormat="1" ht="35" customHeight="1" x14ac:dyDescent="0.2"/>
    <row r="93" s="1" customFormat="1" ht="35" customHeight="1" x14ac:dyDescent="0.2"/>
    <row r="94" s="1" customFormat="1" ht="35" customHeight="1" x14ac:dyDescent="0.2"/>
    <row r="95" s="1" customFormat="1" ht="35" customHeight="1" x14ac:dyDescent="0.2"/>
    <row r="96" s="1" customFormat="1" ht="35" customHeight="1" x14ac:dyDescent="0.2"/>
    <row r="97" s="1" customFormat="1" ht="35" customHeight="1" x14ac:dyDescent="0.2"/>
    <row r="98" s="1" customFormat="1" ht="35" customHeight="1" x14ac:dyDescent="0.2"/>
    <row r="99" s="1" customFormat="1" ht="35" customHeight="1" x14ac:dyDescent="0.2"/>
    <row r="100" s="1" customFormat="1" ht="35" customHeight="1" x14ac:dyDescent="0.2"/>
    <row r="101" s="1" customFormat="1" ht="35" customHeight="1" x14ac:dyDescent="0.2"/>
    <row r="102" s="1" customFormat="1" ht="35" customHeight="1" x14ac:dyDescent="0.2"/>
    <row r="103" s="1" customFormat="1" ht="35" customHeight="1" x14ac:dyDescent="0.2"/>
    <row r="104" s="1" customFormat="1" ht="35" customHeight="1" x14ac:dyDescent="0.2"/>
    <row r="105" s="1" customFormat="1" ht="35" customHeight="1" x14ac:dyDescent="0.2"/>
    <row r="106" s="1" customFormat="1" ht="35" customHeight="1" x14ac:dyDescent="0.2"/>
    <row r="107" s="1" customFormat="1" ht="35" customHeight="1" x14ac:dyDescent="0.2"/>
    <row r="108" s="1" customFormat="1" ht="35" customHeight="1" x14ac:dyDescent="0.2"/>
    <row r="109" s="1" customFormat="1" ht="35" customHeight="1" x14ac:dyDescent="0.2"/>
    <row r="110" s="1" customFormat="1" ht="35" customHeight="1" x14ac:dyDescent="0.2"/>
    <row r="111" s="1" customFormat="1" ht="35" customHeight="1" x14ac:dyDescent="0.2"/>
    <row r="112" s="1" customFormat="1" ht="35" customHeight="1" x14ac:dyDescent="0.2"/>
    <row r="113" s="1" customFormat="1" ht="35" customHeight="1" x14ac:dyDescent="0.2"/>
    <row r="114" s="1" customFormat="1" ht="35" customHeight="1" x14ac:dyDescent="0.2"/>
    <row r="115" s="1" customFormat="1" ht="35" customHeight="1" x14ac:dyDescent="0.2"/>
    <row r="116" s="1" customFormat="1" ht="35" customHeight="1" x14ac:dyDescent="0.2"/>
    <row r="117" s="1" customFormat="1" ht="35" customHeight="1" x14ac:dyDescent="0.2"/>
    <row r="118" s="1" customFormat="1" ht="35" customHeight="1" x14ac:dyDescent="0.2"/>
    <row r="119" s="1" customFormat="1" ht="35" customHeight="1" x14ac:dyDescent="0.2"/>
    <row r="120" s="1" customFormat="1" ht="35" customHeight="1" x14ac:dyDescent="0.2"/>
    <row r="121" s="1" customFormat="1" ht="35" customHeight="1" x14ac:dyDescent="0.2"/>
    <row r="122" s="1" customFormat="1" ht="35" customHeight="1" x14ac:dyDescent="0.2"/>
    <row r="123" s="1" customFormat="1" ht="35" customHeight="1" x14ac:dyDescent="0.2"/>
    <row r="124" s="1" customFormat="1" ht="35" customHeight="1" x14ac:dyDescent="0.2"/>
    <row r="125" s="1" customFormat="1" ht="35" customHeight="1" x14ac:dyDescent="0.2"/>
    <row r="126" s="1" customFormat="1" ht="35" customHeight="1" x14ac:dyDescent="0.2"/>
    <row r="127" s="1" customFormat="1" ht="35" customHeight="1" x14ac:dyDescent="0.2"/>
    <row r="128" s="1" customFormat="1" ht="35" customHeight="1" x14ac:dyDescent="0.2"/>
    <row r="129" s="1" customFormat="1" ht="35" customHeight="1" x14ac:dyDescent="0.2"/>
    <row r="130" s="1" customFormat="1" ht="35" customHeight="1" x14ac:dyDescent="0.2"/>
    <row r="131" s="1" customFormat="1" ht="35" customHeight="1" x14ac:dyDescent="0.2"/>
    <row r="132" s="1" customFormat="1" ht="35" customHeight="1" x14ac:dyDescent="0.2"/>
    <row r="133" s="1" customFormat="1" ht="35" customHeight="1" x14ac:dyDescent="0.2"/>
    <row r="134" s="1" customFormat="1" ht="35" customHeight="1" x14ac:dyDescent="0.2"/>
    <row r="135" s="1" customFormat="1" ht="35" customHeight="1" x14ac:dyDescent="0.2"/>
    <row r="136" s="1" customFormat="1" ht="35" customHeight="1" x14ac:dyDescent="0.2"/>
    <row r="137" s="1" customFormat="1" ht="35" customHeight="1" x14ac:dyDescent="0.2"/>
    <row r="138" s="1" customFormat="1" ht="35" customHeight="1" x14ac:dyDescent="0.2"/>
    <row r="139" s="1" customFormat="1" ht="35" customHeight="1" x14ac:dyDescent="0.2"/>
    <row r="140" s="1" customFormat="1" ht="35" customHeight="1" x14ac:dyDescent="0.2"/>
    <row r="141" s="1" customFormat="1" ht="35" customHeight="1" x14ac:dyDescent="0.2"/>
    <row r="142" s="1" customFormat="1" ht="35" customHeight="1" x14ac:dyDescent="0.2"/>
    <row r="143" s="1" customFormat="1" ht="35" customHeight="1" x14ac:dyDescent="0.2"/>
    <row r="144" s="1" customFormat="1" ht="35" customHeight="1" x14ac:dyDescent="0.2"/>
    <row r="145" s="1" customFormat="1" ht="35" customHeight="1" x14ac:dyDescent="0.2"/>
    <row r="146" s="1" customFormat="1" ht="35" customHeight="1" x14ac:dyDescent="0.2"/>
    <row r="147" s="1" customFormat="1" ht="35" customHeight="1" x14ac:dyDescent="0.2"/>
    <row r="148" s="1" customFormat="1" ht="35" customHeight="1" x14ac:dyDescent="0.2"/>
    <row r="149" s="1" customFormat="1" ht="35" customHeight="1" x14ac:dyDescent="0.2"/>
    <row r="150" s="1" customFormat="1" ht="35" customHeight="1" x14ac:dyDescent="0.2"/>
    <row r="151" s="1" customFormat="1" ht="35" customHeight="1" x14ac:dyDescent="0.2"/>
    <row r="152" s="1" customFormat="1" ht="35" customHeight="1" x14ac:dyDescent="0.2"/>
    <row r="153" s="1" customFormat="1" ht="35" customHeight="1" x14ac:dyDescent="0.2"/>
    <row r="154" s="1" customFormat="1" ht="35" customHeight="1" x14ac:dyDescent="0.2"/>
    <row r="155" s="1" customFormat="1" ht="35" customHeight="1" x14ac:dyDescent="0.2"/>
    <row r="156" s="1" customFormat="1" ht="35" customHeight="1" x14ac:dyDescent="0.2"/>
    <row r="157" s="1" customFormat="1" ht="35" customHeight="1" x14ac:dyDescent="0.2"/>
    <row r="158" s="1" customFormat="1" ht="35" customHeight="1" x14ac:dyDescent="0.2"/>
    <row r="159" s="1" customFormat="1" ht="35" customHeight="1" x14ac:dyDescent="0.2"/>
    <row r="160" s="1" customFormat="1" ht="35" customHeight="1" x14ac:dyDescent="0.2"/>
    <row r="161" s="1" customFormat="1" ht="35" customHeight="1" x14ac:dyDescent="0.2"/>
    <row r="162" s="1" customFormat="1" ht="35" customHeight="1" x14ac:dyDescent="0.2"/>
    <row r="163" s="1" customFormat="1" ht="35" customHeight="1" x14ac:dyDescent="0.2"/>
    <row r="164" s="1" customFormat="1" ht="35" customHeight="1" x14ac:dyDescent="0.2"/>
    <row r="165" s="1" customFormat="1" ht="35" customHeight="1" x14ac:dyDescent="0.2"/>
    <row r="166" s="1" customFormat="1" ht="35" customHeight="1" x14ac:dyDescent="0.2"/>
  </sheetData>
  <mergeCells count="80">
    <mergeCell ref="J1:K1"/>
    <mergeCell ref="A20:E20"/>
    <mergeCell ref="K54:K56"/>
    <mergeCell ref="B48:K48"/>
    <mergeCell ref="G49:K49"/>
    <mergeCell ref="G51:G52"/>
    <mergeCell ref="H51:H52"/>
    <mergeCell ref="I51:I52"/>
    <mergeCell ref="J51:J52"/>
    <mergeCell ref="K51:K52"/>
    <mergeCell ref="A56:E56"/>
    <mergeCell ref="G54:G56"/>
    <mergeCell ref="H54:H56"/>
    <mergeCell ref="I54:I56"/>
    <mergeCell ref="J54:J56"/>
    <mergeCell ref="A29:E29"/>
    <mergeCell ref="A38:E38"/>
    <mergeCell ref="B2:K2"/>
    <mergeCell ref="B3:K3"/>
    <mergeCell ref="G4:K4"/>
    <mergeCell ref="B12:K12"/>
    <mergeCell ref="G13:K13"/>
    <mergeCell ref="A11:E11"/>
    <mergeCell ref="G9:G11"/>
    <mergeCell ref="G6:G7"/>
    <mergeCell ref="H6:H7"/>
    <mergeCell ref="I6:I7"/>
    <mergeCell ref="J6:J7"/>
    <mergeCell ref="K6:K7"/>
    <mergeCell ref="H9:H11"/>
    <mergeCell ref="I9:I11"/>
    <mergeCell ref="K9:K11"/>
    <mergeCell ref="J9:J11"/>
    <mergeCell ref="A47:E47"/>
    <mergeCell ref="G18:G20"/>
    <mergeCell ref="G27:G29"/>
    <mergeCell ref="G40:K40"/>
    <mergeCell ref="B21:K21"/>
    <mergeCell ref="G22:K22"/>
    <mergeCell ref="B39:K39"/>
    <mergeCell ref="H36:H38"/>
    <mergeCell ref="I36:I38"/>
    <mergeCell ref="J36:J38"/>
    <mergeCell ref="K36:K38"/>
    <mergeCell ref="G36:G38"/>
    <mergeCell ref="K18:K20"/>
    <mergeCell ref="G33:G34"/>
    <mergeCell ref="H33:H34"/>
    <mergeCell ref="K24:K25"/>
    <mergeCell ref="G15:G16"/>
    <mergeCell ref="H15:H16"/>
    <mergeCell ref="I15:I16"/>
    <mergeCell ref="J15:J16"/>
    <mergeCell ref="K15:K16"/>
    <mergeCell ref="H18:H20"/>
    <mergeCell ref="I18:I20"/>
    <mergeCell ref="J18:J20"/>
    <mergeCell ref="G24:G25"/>
    <mergeCell ref="H24:H25"/>
    <mergeCell ref="I24:I25"/>
    <mergeCell ref="J24:J25"/>
    <mergeCell ref="I33:I34"/>
    <mergeCell ref="B30:K30"/>
    <mergeCell ref="G31:K31"/>
    <mergeCell ref="K27:K29"/>
    <mergeCell ref="J33:J34"/>
    <mergeCell ref="H27:H29"/>
    <mergeCell ref="I27:I29"/>
    <mergeCell ref="J27:J29"/>
    <mergeCell ref="K33:K34"/>
    <mergeCell ref="K42:K43"/>
    <mergeCell ref="G45:G47"/>
    <mergeCell ref="H45:H47"/>
    <mergeCell ref="I45:I47"/>
    <mergeCell ref="J45:J47"/>
    <mergeCell ref="K45:K47"/>
    <mergeCell ref="G42:G43"/>
    <mergeCell ref="H42:H43"/>
    <mergeCell ref="I42:I43"/>
    <mergeCell ref="J42:J43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38D9-FF00-4C91-A307-7EACE36B67B7}">
  <sheetPr codeName="Sheet50"/>
  <dimension ref="A1:H280"/>
  <sheetViews>
    <sheetView zoomScaleNormal="100" workbookViewId="0">
      <pane ySplit="1" topLeftCell="A25" activePane="bottomLeft" state="frozen"/>
      <selection pane="bottomLeft" activeCell="B11" sqref="B11:F11"/>
    </sheetView>
  </sheetViews>
  <sheetFormatPr baseColWidth="10" defaultColWidth="19.83203125" defaultRowHeight="35" customHeight="1" x14ac:dyDescent="0.15"/>
  <cols>
    <col min="1" max="1" width="25.6640625" style="1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28.5" style="11" bestFit="1" customWidth="1"/>
    <col min="9" max="16384" width="19.83203125" style="11"/>
  </cols>
  <sheetData>
    <row r="1" spans="1:8" ht="50" customHeight="1" x14ac:dyDescent="0.15">
      <c r="A1" s="59" t="s">
        <v>93</v>
      </c>
      <c r="B1" s="60" t="s">
        <v>94</v>
      </c>
      <c r="C1" s="61" t="s">
        <v>92</v>
      </c>
      <c r="D1" s="60">
        <v>2026</v>
      </c>
      <c r="E1" s="102"/>
      <c r="F1" s="102"/>
    </row>
    <row r="2" spans="1:8" ht="35" customHeight="1" x14ac:dyDescent="0.15">
      <c r="A2" s="58" t="s">
        <v>207</v>
      </c>
      <c r="B2" s="103">
        <v>46023</v>
      </c>
      <c r="C2" s="104"/>
      <c r="D2" s="104"/>
      <c r="E2" s="104"/>
      <c r="F2" s="104"/>
      <c r="G2" s="62"/>
      <c r="H2" s="53" t="s">
        <v>32</v>
      </c>
    </row>
    <row r="3" spans="1:8" ht="35" customHeight="1" x14ac:dyDescent="0.15">
      <c r="A3" s="54" t="s">
        <v>17</v>
      </c>
      <c r="B3" s="55">
        <v>0</v>
      </c>
      <c r="C3" s="54" t="s">
        <v>49</v>
      </c>
      <c r="D3" s="56">
        <v>0</v>
      </c>
      <c r="E3" s="54" t="s">
        <v>18</v>
      </c>
      <c r="F3" s="56">
        <v>0</v>
      </c>
      <c r="H3" s="10" t="s">
        <v>181</v>
      </c>
    </row>
    <row r="4" spans="1:8" ht="35" customHeight="1" x14ac:dyDescent="0.15">
      <c r="A4" s="54" t="s">
        <v>19</v>
      </c>
      <c r="B4" s="56">
        <v>0</v>
      </c>
      <c r="C4" s="54" t="s">
        <v>35</v>
      </c>
      <c r="D4" s="56">
        <v>0</v>
      </c>
      <c r="E4" s="54" t="s">
        <v>36</v>
      </c>
      <c r="F4" s="56">
        <v>0</v>
      </c>
    </row>
    <row r="5" spans="1:8" ht="35" customHeight="1" x14ac:dyDescent="0.15">
      <c r="A5" s="54" t="s">
        <v>58</v>
      </c>
      <c r="B5" s="56">
        <v>0</v>
      </c>
      <c r="C5" s="54" t="s">
        <v>37</v>
      </c>
      <c r="D5" s="56">
        <v>0</v>
      </c>
      <c r="E5" s="54" t="s">
        <v>22</v>
      </c>
      <c r="F5" s="56">
        <v>0</v>
      </c>
    </row>
    <row r="6" spans="1:8" ht="35" customHeight="1" x14ac:dyDescent="0.15">
      <c r="A6" s="54" t="s">
        <v>23</v>
      </c>
      <c r="B6" s="56">
        <v>0</v>
      </c>
      <c r="C6" s="54" t="s">
        <v>38</v>
      </c>
      <c r="D6" s="56">
        <v>0</v>
      </c>
      <c r="E6" s="54" t="s">
        <v>39</v>
      </c>
      <c r="F6" s="56">
        <v>0</v>
      </c>
    </row>
    <row r="7" spans="1:8" ht="35" customHeight="1" x14ac:dyDescent="0.15">
      <c r="A7" s="54" t="s">
        <v>40</v>
      </c>
      <c r="B7" s="56">
        <v>0</v>
      </c>
      <c r="C7" s="54" t="s">
        <v>41</v>
      </c>
      <c r="D7" s="56">
        <v>0</v>
      </c>
      <c r="E7" s="54"/>
      <c r="F7" s="56">
        <v>0</v>
      </c>
    </row>
    <row r="8" spans="1:8" ht="35" customHeight="1" x14ac:dyDescent="0.15">
      <c r="A8" s="57" t="s">
        <v>128</v>
      </c>
      <c r="B8" s="56">
        <v>0</v>
      </c>
      <c r="C8" s="57" t="s">
        <v>130</v>
      </c>
      <c r="D8" s="56">
        <v>0</v>
      </c>
      <c r="E8" s="57" t="s">
        <v>133</v>
      </c>
      <c r="F8" s="56">
        <v>0</v>
      </c>
    </row>
    <row r="9" spans="1:8" ht="35" customHeight="1" x14ac:dyDescent="0.15">
      <c r="A9" s="57" t="s">
        <v>135</v>
      </c>
      <c r="B9" s="56">
        <v>0</v>
      </c>
      <c r="C9" s="57" t="s">
        <v>138</v>
      </c>
      <c r="D9" s="56">
        <v>0</v>
      </c>
      <c r="E9" s="57" t="s">
        <v>140</v>
      </c>
      <c r="F9" s="56">
        <v>0</v>
      </c>
    </row>
    <row r="10" spans="1:8" ht="35" customHeight="1" x14ac:dyDescent="0.15">
      <c r="A10" s="105" t="s">
        <v>42</v>
      </c>
      <c r="B10" s="106"/>
      <c r="C10" s="106"/>
      <c r="D10" s="106"/>
      <c r="E10" s="106"/>
      <c r="F10" s="56">
        <v>0</v>
      </c>
    </row>
    <row r="11" spans="1:8" ht="35" customHeight="1" x14ac:dyDescent="0.15">
      <c r="A11" s="52" t="s">
        <v>207</v>
      </c>
      <c r="B11" s="103">
        <v>46024</v>
      </c>
      <c r="C11" s="104"/>
      <c r="D11" s="104"/>
      <c r="E11" s="104"/>
      <c r="F11" s="104"/>
      <c r="G11" s="62"/>
    </row>
    <row r="12" spans="1:8" ht="35" customHeight="1" x14ac:dyDescent="0.15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</row>
    <row r="13" spans="1:8" ht="35" customHeight="1" x14ac:dyDescent="0.15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</row>
    <row r="14" spans="1:8" ht="35" customHeight="1" x14ac:dyDescent="0.15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15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15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7" ht="35" customHeight="1" x14ac:dyDescent="0.15">
      <c r="A17" s="57" t="s">
        <v>128</v>
      </c>
      <c r="B17" s="56">
        <v>0</v>
      </c>
      <c r="C17" s="57" t="s">
        <v>130</v>
      </c>
      <c r="D17" s="56">
        <v>0</v>
      </c>
      <c r="E17" s="57" t="s">
        <v>133</v>
      </c>
      <c r="F17" s="56">
        <v>0</v>
      </c>
    </row>
    <row r="18" spans="1:7" ht="35" customHeight="1" x14ac:dyDescent="0.15">
      <c r="A18" s="57" t="s">
        <v>135</v>
      </c>
      <c r="B18" s="56">
        <v>0</v>
      </c>
      <c r="C18" s="57" t="s">
        <v>138</v>
      </c>
      <c r="D18" s="56">
        <v>0</v>
      </c>
      <c r="E18" s="57" t="s">
        <v>140</v>
      </c>
      <c r="F18" s="56">
        <v>0</v>
      </c>
    </row>
    <row r="19" spans="1:7" ht="35" customHeight="1" x14ac:dyDescent="0.15">
      <c r="A19" s="105" t="s">
        <v>42</v>
      </c>
      <c r="B19" s="106"/>
      <c r="C19" s="106"/>
      <c r="D19" s="106"/>
      <c r="E19" s="106"/>
      <c r="F19" s="56">
        <v>0</v>
      </c>
    </row>
    <row r="20" spans="1:7" ht="35" customHeight="1" x14ac:dyDescent="0.15">
      <c r="A20" s="52" t="s">
        <v>207</v>
      </c>
      <c r="B20" s="103">
        <v>46025</v>
      </c>
      <c r="C20" s="104"/>
      <c r="D20" s="104"/>
      <c r="E20" s="104"/>
      <c r="F20" s="104"/>
      <c r="G20" s="62"/>
    </row>
    <row r="21" spans="1:7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7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7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7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7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7" ht="35" customHeight="1" x14ac:dyDescent="0.15">
      <c r="A26" s="57" t="s">
        <v>128</v>
      </c>
      <c r="B26" s="56">
        <v>0</v>
      </c>
      <c r="C26" s="57" t="s">
        <v>130</v>
      </c>
      <c r="D26" s="56">
        <v>0</v>
      </c>
      <c r="E26" s="57" t="s">
        <v>133</v>
      </c>
      <c r="F26" s="56">
        <v>0</v>
      </c>
    </row>
    <row r="27" spans="1:7" ht="35" customHeight="1" x14ac:dyDescent="0.15">
      <c r="A27" s="57" t="s">
        <v>135</v>
      </c>
      <c r="B27" s="56">
        <v>0</v>
      </c>
      <c r="C27" s="57" t="s">
        <v>138</v>
      </c>
      <c r="D27" s="56">
        <v>0</v>
      </c>
      <c r="E27" s="57" t="s">
        <v>140</v>
      </c>
      <c r="F27" s="56">
        <v>0</v>
      </c>
    </row>
    <row r="28" spans="1:7" ht="35" customHeight="1" x14ac:dyDescent="0.15">
      <c r="A28" s="105" t="s">
        <v>42</v>
      </c>
      <c r="B28" s="106"/>
      <c r="C28" s="106"/>
      <c r="D28" s="106"/>
      <c r="E28" s="106"/>
      <c r="F28" s="56">
        <v>0</v>
      </c>
    </row>
    <row r="29" spans="1:7" ht="35" customHeight="1" x14ac:dyDescent="0.15">
      <c r="A29" s="52" t="s">
        <v>207</v>
      </c>
      <c r="B29" s="103">
        <v>46026</v>
      </c>
      <c r="C29" s="104"/>
      <c r="D29" s="104"/>
      <c r="E29" s="104"/>
      <c r="F29" s="104"/>
      <c r="G29" s="62"/>
    </row>
    <row r="30" spans="1:7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7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7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7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7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7" ht="35" customHeight="1" x14ac:dyDescent="0.15">
      <c r="A35" s="57" t="s">
        <v>128</v>
      </c>
      <c r="B35" s="56">
        <v>0</v>
      </c>
      <c r="C35" s="57" t="s">
        <v>130</v>
      </c>
      <c r="D35" s="56">
        <v>0</v>
      </c>
      <c r="E35" s="57" t="s">
        <v>133</v>
      </c>
      <c r="F35" s="56">
        <v>0</v>
      </c>
    </row>
    <row r="36" spans="1:7" ht="35" customHeight="1" x14ac:dyDescent="0.15">
      <c r="A36" s="57" t="s">
        <v>135</v>
      </c>
      <c r="B36" s="56">
        <v>0</v>
      </c>
      <c r="C36" s="57" t="s">
        <v>138</v>
      </c>
      <c r="D36" s="56">
        <v>0</v>
      </c>
      <c r="E36" s="57" t="s">
        <v>140</v>
      </c>
      <c r="F36" s="56">
        <v>0</v>
      </c>
    </row>
    <row r="37" spans="1:7" ht="35" customHeight="1" x14ac:dyDescent="0.15">
      <c r="A37" s="105" t="s">
        <v>42</v>
      </c>
      <c r="B37" s="106"/>
      <c r="C37" s="106"/>
      <c r="D37" s="106"/>
      <c r="E37" s="106"/>
      <c r="F37" s="56">
        <v>0</v>
      </c>
    </row>
    <row r="38" spans="1:7" ht="35" customHeight="1" x14ac:dyDescent="0.15">
      <c r="A38" s="52" t="s">
        <v>207</v>
      </c>
      <c r="B38" s="103">
        <v>46027</v>
      </c>
      <c r="C38" s="104"/>
      <c r="D38" s="104"/>
      <c r="E38" s="104"/>
      <c r="F38" s="104"/>
      <c r="G38" s="62"/>
    </row>
    <row r="39" spans="1:7" ht="35" customHeight="1" x14ac:dyDescent="0.15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7" ht="35" customHeight="1" x14ac:dyDescent="0.15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7" ht="35" customHeight="1" x14ac:dyDescent="0.15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7" ht="35" customHeight="1" x14ac:dyDescent="0.15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7" ht="35" customHeight="1" x14ac:dyDescent="0.15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7" ht="35" customHeight="1" x14ac:dyDescent="0.15">
      <c r="A44" s="57" t="s">
        <v>128</v>
      </c>
      <c r="B44" s="56">
        <v>0</v>
      </c>
      <c r="C44" s="57" t="s">
        <v>130</v>
      </c>
      <c r="D44" s="56">
        <v>0</v>
      </c>
      <c r="E44" s="57" t="s">
        <v>133</v>
      </c>
      <c r="F44" s="56">
        <v>0</v>
      </c>
    </row>
    <row r="45" spans="1:7" ht="35" customHeight="1" x14ac:dyDescent="0.15">
      <c r="A45" s="57" t="s">
        <v>135</v>
      </c>
      <c r="B45" s="56">
        <v>0</v>
      </c>
      <c r="C45" s="57" t="s">
        <v>138</v>
      </c>
      <c r="D45" s="56">
        <v>0</v>
      </c>
      <c r="E45" s="57" t="s">
        <v>140</v>
      </c>
      <c r="F45" s="56">
        <v>0</v>
      </c>
    </row>
    <row r="46" spans="1:7" ht="35" customHeight="1" x14ac:dyDescent="0.15">
      <c r="A46" s="105" t="s">
        <v>42</v>
      </c>
      <c r="B46" s="106"/>
      <c r="C46" s="106"/>
      <c r="D46" s="106"/>
      <c r="E46" s="106"/>
      <c r="F46" s="56">
        <v>0</v>
      </c>
    </row>
    <row r="47" spans="1:7" ht="35" customHeight="1" x14ac:dyDescent="0.15">
      <c r="A47" s="52" t="s">
        <v>207</v>
      </c>
      <c r="B47" s="103">
        <v>46028</v>
      </c>
      <c r="C47" s="104"/>
      <c r="D47" s="104"/>
      <c r="E47" s="104"/>
      <c r="F47" s="104"/>
      <c r="G47" s="62"/>
    </row>
    <row r="48" spans="1:7" ht="35" customHeight="1" x14ac:dyDescent="0.15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7" ht="35" customHeight="1" x14ac:dyDescent="0.15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7" ht="35" customHeight="1" x14ac:dyDescent="0.15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7" ht="35" customHeight="1" x14ac:dyDescent="0.15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7" ht="35" customHeight="1" x14ac:dyDescent="0.15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7" ht="35" customHeight="1" x14ac:dyDescent="0.15">
      <c r="A53" s="57" t="s">
        <v>128</v>
      </c>
      <c r="B53" s="56">
        <v>0</v>
      </c>
      <c r="C53" s="57" t="s">
        <v>130</v>
      </c>
      <c r="D53" s="56">
        <v>0</v>
      </c>
      <c r="E53" s="57" t="s">
        <v>133</v>
      </c>
      <c r="F53" s="56">
        <v>0</v>
      </c>
    </row>
    <row r="54" spans="1:7" ht="35" customHeight="1" x14ac:dyDescent="0.15">
      <c r="A54" s="57" t="s">
        <v>135</v>
      </c>
      <c r="B54" s="56">
        <v>0</v>
      </c>
      <c r="C54" s="57" t="s">
        <v>138</v>
      </c>
      <c r="D54" s="56">
        <v>0</v>
      </c>
      <c r="E54" s="57" t="s">
        <v>140</v>
      </c>
      <c r="F54" s="56">
        <v>0</v>
      </c>
    </row>
    <row r="55" spans="1:7" ht="35" customHeight="1" x14ac:dyDescent="0.15">
      <c r="A55" s="105" t="s">
        <v>42</v>
      </c>
      <c r="B55" s="106"/>
      <c r="C55" s="106"/>
      <c r="D55" s="106"/>
      <c r="E55" s="106"/>
      <c r="F55" s="56">
        <v>0</v>
      </c>
    </row>
    <row r="56" spans="1:7" ht="35" customHeight="1" x14ac:dyDescent="0.15">
      <c r="A56" s="52" t="s">
        <v>207</v>
      </c>
      <c r="B56" s="103">
        <v>46029</v>
      </c>
      <c r="C56" s="104"/>
      <c r="D56" s="104"/>
      <c r="E56" s="104"/>
      <c r="F56" s="104"/>
      <c r="G56" s="62"/>
    </row>
    <row r="57" spans="1:7" ht="35" customHeight="1" x14ac:dyDescent="0.15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7" ht="35" customHeight="1" x14ac:dyDescent="0.15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7" ht="35" customHeight="1" x14ac:dyDescent="0.15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7" ht="35" customHeight="1" x14ac:dyDescent="0.15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7" ht="35" customHeight="1" x14ac:dyDescent="0.15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7" ht="35" customHeight="1" x14ac:dyDescent="0.15">
      <c r="A62" s="57" t="s">
        <v>128</v>
      </c>
      <c r="B62" s="56">
        <v>0</v>
      </c>
      <c r="C62" s="57" t="s">
        <v>130</v>
      </c>
      <c r="D62" s="56">
        <v>0</v>
      </c>
      <c r="E62" s="57" t="s">
        <v>133</v>
      </c>
      <c r="F62" s="56">
        <v>0</v>
      </c>
    </row>
    <row r="63" spans="1:7" ht="35" customHeight="1" x14ac:dyDescent="0.15">
      <c r="A63" s="57" t="s">
        <v>135</v>
      </c>
      <c r="B63" s="56">
        <v>0</v>
      </c>
      <c r="C63" s="57" t="s">
        <v>138</v>
      </c>
      <c r="D63" s="56">
        <v>0</v>
      </c>
      <c r="E63" s="57" t="s">
        <v>140</v>
      </c>
      <c r="F63" s="56">
        <v>0</v>
      </c>
    </row>
    <row r="64" spans="1:7" ht="35" customHeight="1" x14ac:dyDescent="0.15">
      <c r="A64" s="105" t="s">
        <v>42</v>
      </c>
      <c r="B64" s="106"/>
      <c r="C64" s="106"/>
      <c r="D64" s="106"/>
      <c r="E64" s="106"/>
      <c r="F64" s="56">
        <v>0</v>
      </c>
    </row>
    <row r="65" spans="1:7" ht="35" customHeight="1" x14ac:dyDescent="0.15">
      <c r="A65" s="52" t="s">
        <v>207</v>
      </c>
      <c r="B65" s="103">
        <v>46030</v>
      </c>
      <c r="C65" s="104"/>
      <c r="D65" s="104"/>
      <c r="E65" s="104"/>
      <c r="F65" s="104"/>
      <c r="G65" s="62"/>
    </row>
    <row r="66" spans="1:7" ht="35" customHeight="1" x14ac:dyDescent="0.15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7" ht="35" customHeight="1" x14ac:dyDescent="0.15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7" ht="35" customHeight="1" x14ac:dyDescent="0.15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7" ht="35" customHeight="1" x14ac:dyDescent="0.15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7" ht="35" customHeight="1" x14ac:dyDescent="0.15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7" ht="35" customHeight="1" x14ac:dyDescent="0.15">
      <c r="A71" s="57" t="s">
        <v>128</v>
      </c>
      <c r="B71" s="56">
        <v>0</v>
      </c>
      <c r="C71" s="57" t="s">
        <v>130</v>
      </c>
      <c r="D71" s="56">
        <v>0</v>
      </c>
      <c r="E71" s="57" t="s">
        <v>133</v>
      </c>
      <c r="F71" s="56">
        <v>0</v>
      </c>
    </row>
    <row r="72" spans="1:7" ht="35" customHeight="1" x14ac:dyDescent="0.15">
      <c r="A72" s="57" t="s">
        <v>135</v>
      </c>
      <c r="B72" s="56">
        <v>0</v>
      </c>
      <c r="C72" s="57" t="s">
        <v>138</v>
      </c>
      <c r="D72" s="56">
        <v>0</v>
      </c>
      <c r="E72" s="57" t="s">
        <v>140</v>
      </c>
      <c r="F72" s="56">
        <v>0</v>
      </c>
    </row>
    <row r="73" spans="1:7" ht="35" customHeight="1" x14ac:dyDescent="0.15">
      <c r="A73" s="105" t="s">
        <v>42</v>
      </c>
      <c r="B73" s="106"/>
      <c r="C73" s="106"/>
      <c r="D73" s="106"/>
      <c r="E73" s="106"/>
      <c r="F73" s="56">
        <v>0</v>
      </c>
    </row>
    <row r="74" spans="1:7" ht="35" customHeight="1" x14ac:dyDescent="0.15">
      <c r="A74" s="52" t="s">
        <v>207</v>
      </c>
      <c r="B74" s="103">
        <v>46031</v>
      </c>
      <c r="C74" s="104"/>
      <c r="D74" s="104"/>
      <c r="E74" s="104"/>
      <c r="F74" s="104"/>
      <c r="G74" s="62"/>
    </row>
    <row r="75" spans="1:7" ht="35" customHeight="1" x14ac:dyDescent="0.15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7" ht="35" customHeight="1" x14ac:dyDescent="0.15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7" ht="35" customHeight="1" x14ac:dyDescent="0.15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7" ht="35" customHeight="1" x14ac:dyDescent="0.15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7" ht="35" customHeight="1" x14ac:dyDescent="0.15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7" ht="35" customHeight="1" x14ac:dyDescent="0.15">
      <c r="A80" s="57" t="s">
        <v>128</v>
      </c>
      <c r="B80" s="56">
        <v>0</v>
      </c>
      <c r="C80" s="57" t="s">
        <v>130</v>
      </c>
      <c r="D80" s="56">
        <v>0</v>
      </c>
      <c r="E80" s="57" t="s">
        <v>133</v>
      </c>
      <c r="F80" s="56">
        <v>0</v>
      </c>
    </row>
    <row r="81" spans="1:7" ht="35" customHeight="1" x14ac:dyDescent="0.15">
      <c r="A81" s="57" t="s">
        <v>135</v>
      </c>
      <c r="B81" s="56">
        <v>0</v>
      </c>
      <c r="C81" s="57" t="s">
        <v>138</v>
      </c>
      <c r="D81" s="56">
        <v>0</v>
      </c>
      <c r="E81" s="57" t="s">
        <v>140</v>
      </c>
      <c r="F81" s="56">
        <v>0</v>
      </c>
    </row>
    <row r="82" spans="1:7" ht="35" customHeight="1" x14ac:dyDescent="0.15">
      <c r="A82" s="105" t="s">
        <v>42</v>
      </c>
      <c r="B82" s="106"/>
      <c r="C82" s="106"/>
      <c r="D82" s="106"/>
      <c r="E82" s="106"/>
      <c r="F82" s="56">
        <v>0</v>
      </c>
    </row>
    <row r="83" spans="1:7" ht="35" customHeight="1" x14ac:dyDescent="0.15">
      <c r="A83" s="52" t="s">
        <v>207</v>
      </c>
      <c r="B83" s="103">
        <v>46032</v>
      </c>
      <c r="C83" s="104"/>
      <c r="D83" s="104"/>
      <c r="E83" s="104"/>
      <c r="F83" s="104"/>
      <c r="G83" s="62"/>
    </row>
    <row r="84" spans="1:7" ht="35" customHeight="1" x14ac:dyDescent="0.15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7" ht="35" customHeight="1" x14ac:dyDescent="0.15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7" ht="35" customHeight="1" x14ac:dyDescent="0.15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7" ht="35" customHeight="1" x14ac:dyDescent="0.15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7" ht="35" customHeight="1" x14ac:dyDescent="0.15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7" ht="35" customHeight="1" x14ac:dyDescent="0.15">
      <c r="A89" s="57" t="s">
        <v>128</v>
      </c>
      <c r="B89" s="56">
        <v>0</v>
      </c>
      <c r="C89" s="57" t="s">
        <v>130</v>
      </c>
      <c r="D89" s="56">
        <v>0</v>
      </c>
      <c r="E89" s="57" t="s">
        <v>133</v>
      </c>
      <c r="F89" s="56">
        <v>0</v>
      </c>
    </row>
    <row r="90" spans="1:7" ht="35" customHeight="1" x14ac:dyDescent="0.15">
      <c r="A90" s="57" t="s">
        <v>135</v>
      </c>
      <c r="B90" s="56">
        <v>0</v>
      </c>
      <c r="C90" s="57" t="s">
        <v>138</v>
      </c>
      <c r="D90" s="56">
        <v>0</v>
      </c>
      <c r="E90" s="57" t="s">
        <v>140</v>
      </c>
      <c r="F90" s="56">
        <v>0</v>
      </c>
    </row>
    <row r="91" spans="1:7" ht="35" customHeight="1" x14ac:dyDescent="0.15">
      <c r="A91" s="105" t="s">
        <v>42</v>
      </c>
      <c r="B91" s="106"/>
      <c r="C91" s="106"/>
      <c r="D91" s="106"/>
      <c r="E91" s="106"/>
      <c r="F91" s="56">
        <v>0</v>
      </c>
    </row>
    <row r="92" spans="1:7" ht="35" customHeight="1" x14ac:dyDescent="0.15">
      <c r="A92" s="52" t="s">
        <v>207</v>
      </c>
      <c r="B92" s="103">
        <v>46033</v>
      </c>
      <c r="C92" s="104"/>
      <c r="D92" s="104"/>
      <c r="E92" s="104"/>
      <c r="F92" s="104"/>
      <c r="G92" s="62"/>
    </row>
    <row r="93" spans="1:7" ht="35" customHeight="1" x14ac:dyDescent="0.15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7" ht="35" customHeight="1" x14ac:dyDescent="0.15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7" ht="35" customHeight="1" x14ac:dyDescent="0.15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7" ht="35" customHeight="1" x14ac:dyDescent="0.15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7" ht="35" customHeight="1" x14ac:dyDescent="0.15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7" ht="35" customHeight="1" x14ac:dyDescent="0.15">
      <c r="A98" s="57" t="s">
        <v>128</v>
      </c>
      <c r="B98" s="56">
        <v>0</v>
      </c>
      <c r="C98" s="57" t="s">
        <v>130</v>
      </c>
      <c r="D98" s="56">
        <v>0</v>
      </c>
      <c r="E98" s="57" t="s">
        <v>133</v>
      </c>
      <c r="F98" s="56">
        <v>0</v>
      </c>
    </row>
    <row r="99" spans="1:7" ht="35" customHeight="1" x14ac:dyDescent="0.15">
      <c r="A99" s="57" t="s">
        <v>135</v>
      </c>
      <c r="B99" s="56">
        <v>0</v>
      </c>
      <c r="C99" s="57" t="s">
        <v>138</v>
      </c>
      <c r="D99" s="56">
        <v>0</v>
      </c>
      <c r="E99" s="57" t="s">
        <v>140</v>
      </c>
      <c r="F99" s="56">
        <v>0</v>
      </c>
    </row>
    <row r="100" spans="1:7" ht="35" customHeight="1" x14ac:dyDescent="0.15">
      <c r="A100" s="105" t="s">
        <v>42</v>
      </c>
      <c r="B100" s="106"/>
      <c r="C100" s="106"/>
      <c r="D100" s="106"/>
      <c r="E100" s="106"/>
      <c r="F100" s="56">
        <v>0</v>
      </c>
    </row>
    <row r="101" spans="1:7" ht="35" customHeight="1" x14ac:dyDescent="0.15">
      <c r="A101" s="52" t="s">
        <v>207</v>
      </c>
      <c r="B101" s="103">
        <v>46034</v>
      </c>
      <c r="C101" s="104"/>
      <c r="D101" s="104"/>
      <c r="E101" s="104"/>
      <c r="F101" s="104"/>
      <c r="G101" s="62"/>
    </row>
    <row r="102" spans="1:7" ht="35" customHeight="1" x14ac:dyDescent="0.15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7" ht="35" customHeight="1" x14ac:dyDescent="0.15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7" ht="35" customHeight="1" x14ac:dyDescent="0.15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7" ht="35" customHeight="1" x14ac:dyDescent="0.15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7" ht="35" customHeight="1" x14ac:dyDescent="0.15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7" ht="35" customHeight="1" x14ac:dyDescent="0.15">
      <c r="A107" s="57" t="s">
        <v>128</v>
      </c>
      <c r="B107" s="56">
        <v>0</v>
      </c>
      <c r="C107" s="57" t="s">
        <v>130</v>
      </c>
      <c r="D107" s="56">
        <v>0</v>
      </c>
      <c r="E107" s="57" t="s">
        <v>133</v>
      </c>
      <c r="F107" s="56">
        <v>0</v>
      </c>
    </row>
    <row r="108" spans="1:7" ht="35" customHeight="1" x14ac:dyDescent="0.15">
      <c r="A108" s="57" t="s">
        <v>135</v>
      </c>
      <c r="B108" s="56">
        <v>0</v>
      </c>
      <c r="C108" s="57" t="s">
        <v>138</v>
      </c>
      <c r="D108" s="56">
        <v>0</v>
      </c>
      <c r="E108" s="57" t="s">
        <v>140</v>
      </c>
      <c r="F108" s="56">
        <v>0</v>
      </c>
    </row>
    <row r="109" spans="1:7" ht="35" customHeight="1" x14ac:dyDescent="0.15">
      <c r="A109" s="105" t="s">
        <v>42</v>
      </c>
      <c r="B109" s="106"/>
      <c r="C109" s="106"/>
      <c r="D109" s="106"/>
      <c r="E109" s="106"/>
      <c r="F109" s="56">
        <v>0</v>
      </c>
    </row>
    <row r="110" spans="1:7" ht="35" customHeight="1" x14ac:dyDescent="0.15">
      <c r="A110" s="52" t="s">
        <v>207</v>
      </c>
      <c r="B110" s="103">
        <v>46035</v>
      </c>
      <c r="C110" s="104"/>
      <c r="D110" s="104"/>
      <c r="E110" s="104"/>
      <c r="F110" s="104"/>
    </row>
    <row r="111" spans="1:7" ht="35" customHeight="1" x14ac:dyDescent="0.15">
      <c r="A111" s="54" t="s">
        <v>17</v>
      </c>
      <c r="B111" s="55">
        <v>0</v>
      </c>
      <c r="C111" s="54" t="s">
        <v>49</v>
      </c>
      <c r="D111" s="56">
        <v>0</v>
      </c>
      <c r="E111" s="54" t="s">
        <v>18</v>
      </c>
      <c r="F111" s="56">
        <v>0</v>
      </c>
    </row>
    <row r="112" spans="1:7" ht="35" customHeight="1" x14ac:dyDescent="0.15">
      <c r="A112" s="54" t="s">
        <v>19</v>
      </c>
      <c r="B112" s="56">
        <v>0</v>
      </c>
      <c r="C112" s="54" t="s">
        <v>35</v>
      </c>
      <c r="D112" s="56">
        <v>0</v>
      </c>
      <c r="E112" s="54" t="s">
        <v>36</v>
      </c>
      <c r="F112" s="56">
        <v>0</v>
      </c>
    </row>
    <row r="113" spans="1:6" ht="35" customHeight="1" x14ac:dyDescent="0.15">
      <c r="A113" s="54" t="s">
        <v>58</v>
      </c>
      <c r="B113" s="56">
        <v>0</v>
      </c>
      <c r="C113" s="54" t="s">
        <v>37</v>
      </c>
      <c r="D113" s="56">
        <v>0</v>
      </c>
      <c r="E113" s="54" t="s">
        <v>22</v>
      </c>
      <c r="F113" s="56">
        <v>0</v>
      </c>
    </row>
    <row r="114" spans="1:6" ht="35" customHeight="1" x14ac:dyDescent="0.15">
      <c r="A114" s="54" t="s">
        <v>23</v>
      </c>
      <c r="B114" s="56">
        <v>0</v>
      </c>
      <c r="C114" s="54" t="s">
        <v>38</v>
      </c>
      <c r="D114" s="56">
        <v>0</v>
      </c>
      <c r="E114" s="54" t="s">
        <v>39</v>
      </c>
      <c r="F114" s="56">
        <v>0</v>
      </c>
    </row>
    <row r="115" spans="1:6" ht="35" customHeight="1" x14ac:dyDescent="0.15">
      <c r="A115" s="54" t="s">
        <v>40</v>
      </c>
      <c r="B115" s="56">
        <v>0</v>
      </c>
      <c r="C115" s="54" t="s">
        <v>41</v>
      </c>
      <c r="D115" s="56">
        <v>0</v>
      </c>
      <c r="E115" s="54"/>
      <c r="F115" s="56">
        <v>0</v>
      </c>
    </row>
    <row r="116" spans="1:6" ht="35" customHeight="1" x14ac:dyDescent="0.15">
      <c r="A116" s="57" t="s">
        <v>128</v>
      </c>
      <c r="B116" s="56">
        <v>0</v>
      </c>
      <c r="C116" s="57" t="s">
        <v>130</v>
      </c>
      <c r="D116" s="56">
        <v>0</v>
      </c>
      <c r="E116" s="57" t="s">
        <v>133</v>
      </c>
      <c r="F116" s="56">
        <v>0</v>
      </c>
    </row>
    <row r="117" spans="1:6" ht="35" customHeight="1" x14ac:dyDescent="0.15">
      <c r="A117" s="57" t="s">
        <v>135</v>
      </c>
      <c r="B117" s="56">
        <v>0</v>
      </c>
      <c r="C117" s="57" t="s">
        <v>138</v>
      </c>
      <c r="D117" s="56">
        <v>0</v>
      </c>
      <c r="E117" s="57" t="s">
        <v>140</v>
      </c>
      <c r="F117" s="56">
        <v>0</v>
      </c>
    </row>
    <row r="118" spans="1:6" ht="35" customHeight="1" x14ac:dyDescent="0.15">
      <c r="A118" s="105" t="s">
        <v>42</v>
      </c>
      <c r="B118" s="106"/>
      <c r="C118" s="106"/>
      <c r="D118" s="106"/>
      <c r="E118" s="106"/>
      <c r="F118" s="56">
        <v>0</v>
      </c>
    </row>
    <row r="119" spans="1:6" ht="35" customHeight="1" x14ac:dyDescent="0.15">
      <c r="A119" s="52" t="s">
        <v>207</v>
      </c>
      <c r="B119" s="103">
        <v>46036</v>
      </c>
      <c r="C119" s="104"/>
      <c r="D119" s="104"/>
      <c r="E119" s="104"/>
      <c r="F119" s="104"/>
    </row>
    <row r="120" spans="1:6" ht="35" customHeight="1" x14ac:dyDescent="0.15">
      <c r="A120" s="54" t="s">
        <v>17</v>
      </c>
      <c r="B120" s="55">
        <v>0</v>
      </c>
      <c r="C120" s="54" t="s">
        <v>49</v>
      </c>
      <c r="D120" s="56">
        <v>0</v>
      </c>
      <c r="E120" s="54" t="s">
        <v>18</v>
      </c>
      <c r="F120" s="56">
        <v>0</v>
      </c>
    </row>
    <row r="121" spans="1:6" ht="35" customHeight="1" x14ac:dyDescent="0.15">
      <c r="A121" s="54" t="s">
        <v>19</v>
      </c>
      <c r="B121" s="56">
        <v>0</v>
      </c>
      <c r="C121" s="54" t="s">
        <v>35</v>
      </c>
      <c r="D121" s="56">
        <v>0</v>
      </c>
      <c r="E121" s="54" t="s">
        <v>36</v>
      </c>
      <c r="F121" s="56">
        <v>0</v>
      </c>
    </row>
    <row r="122" spans="1:6" ht="35" customHeight="1" x14ac:dyDescent="0.15">
      <c r="A122" s="54" t="s">
        <v>58</v>
      </c>
      <c r="B122" s="56">
        <v>0</v>
      </c>
      <c r="C122" s="54" t="s">
        <v>37</v>
      </c>
      <c r="D122" s="56">
        <v>0</v>
      </c>
      <c r="E122" s="54" t="s">
        <v>22</v>
      </c>
      <c r="F122" s="56">
        <v>0</v>
      </c>
    </row>
    <row r="123" spans="1:6" ht="35" customHeight="1" x14ac:dyDescent="0.15">
      <c r="A123" s="54" t="s">
        <v>23</v>
      </c>
      <c r="B123" s="56">
        <v>0</v>
      </c>
      <c r="C123" s="54" t="s">
        <v>38</v>
      </c>
      <c r="D123" s="56">
        <v>0</v>
      </c>
      <c r="E123" s="54" t="s">
        <v>39</v>
      </c>
      <c r="F123" s="56">
        <v>0</v>
      </c>
    </row>
    <row r="124" spans="1:6" ht="35" customHeight="1" x14ac:dyDescent="0.15">
      <c r="A124" s="54" t="s">
        <v>40</v>
      </c>
      <c r="B124" s="56">
        <v>0</v>
      </c>
      <c r="C124" s="54" t="s">
        <v>41</v>
      </c>
      <c r="D124" s="56">
        <v>0</v>
      </c>
      <c r="E124" s="54"/>
      <c r="F124" s="56">
        <v>0</v>
      </c>
    </row>
    <row r="125" spans="1:6" ht="35" customHeight="1" x14ac:dyDescent="0.15">
      <c r="A125" s="57" t="s">
        <v>128</v>
      </c>
      <c r="B125" s="56">
        <v>0</v>
      </c>
      <c r="C125" s="57" t="s">
        <v>130</v>
      </c>
      <c r="D125" s="56">
        <v>0</v>
      </c>
      <c r="E125" s="57" t="s">
        <v>133</v>
      </c>
      <c r="F125" s="56">
        <v>0</v>
      </c>
    </row>
    <row r="126" spans="1:6" ht="35" customHeight="1" x14ac:dyDescent="0.15">
      <c r="A126" s="57" t="s">
        <v>135</v>
      </c>
      <c r="B126" s="56">
        <v>0</v>
      </c>
      <c r="C126" s="57" t="s">
        <v>138</v>
      </c>
      <c r="D126" s="56">
        <v>0</v>
      </c>
      <c r="E126" s="57" t="s">
        <v>140</v>
      </c>
      <c r="F126" s="56">
        <v>0</v>
      </c>
    </row>
    <row r="127" spans="1:6" ht="35" customHeight="1" x14ac:dyDescent="0.15">
      <c r="A127" s="105" t="s">
        <v>42</v>
      </c>
      <c r="B127" s="106"/>
      <c r="C127" s="106"/>
      <c r="D127" s="106"/>
      <c r="E127" s="106"/>
      <c r="F127" s="56">
        <v>0</v>
      </c>
    </row>
    <row r="128" spans="1:6" ht="35" customHeight="1" x14ac:dyDescent="0.15">
      <c r="A128" s="52" t="s">
        <v>207</v>
      </c>
      <c r="B128" s="103">
        <v>46037</v>
      </c>
      <c r="C128" s="104"/>
      <c r="D128" s="104"/>
      <c r="E128" s="104"/>
      <c r="F128" s="104"/>
    </row>
    <row r="129" spans="1:6" ht="35" customHeight="1" x14ac:dyDescent="0.15">
      <c r="A129" s="54" t="s">
        <v>17</v>
      </c>
      <c r="B129" s="55">
        <v>0</v>
      </c>
      <c r="C129" s="54" t="s">
        <v>49</v>
      </c>
      <c r="D129" s="56">
        <v>0</v>
      </c>
      <c r="E129" s="54" t="s">
        <v>18</v>
      </c>
      <c r="F129" s="56">
        <v>0</v>
      </c>
    </row>
    <row r="130" spans="1:6" ht="35" customHeight="1" x14ac:dyDescent="0.15">
      <c r="A130" s="54" t="s">
        <v>19</v>
      </c>
      <c r="B130" s="56">
        <v>0</v>
      </c>
      <c r="C130" s="54" t="s">
        <v>35</v>
      </c>
      <c r="D130" s="56">
        <v>0</v>
      </c>
      <c r="E130" s="54" t="s">
        <v>36</v>
      </c>
      <c r="F130" s="56">
        <v>0</v>
      </c>
    </row>
    <row r="131" spans="1:6" ht="35" customHeight="1" x14ac:dyDescent="0.15">
      <c r="A131" s="54" t="s">
        <v>58</v>
      </c>
      <c r="B131" s="56">
        <v>0</v>
      </c>
      <c r="C131" s="54" t="s">
        <v>37</v>
      </c>
      <c r="D131" s="56">
        <v>0</v>
      </c>
      <c r="E131" s="54" t="s">
        <v>22</v>
      </c>
      <c r="F131" s="56">
        <v>0</v>
      </c>
    </row>
    <row r="132" spans="1:6" ht="35" customHeight="1" x14ac:dyDescent="0.15">
      <c r="A132" s="54" t="s">
        <v>23</v>
      </c>
      <c r="B132" s="56">
        <v>0</v>
      </c>
      <c r="C132" s="54" t="s">
        <v>38</v>
      </c>
      <c r="D132" s="56">
        <v>0</v>
      </c>
      <c r="E132" s="54" t="s">
        <v>39</v>
      </c>
      <c r="F132" s="56">
        <v>0</v>
      </c>
    </row>
    <row r="133" spans="1:6" ht="35" customHeight="1" x14ac:dyDescent="0.15">
      <c r="A133" s="54" t="s">
        <v>40</v>
      </c>
      <c r="B133" s="56">
        <v>0</v>
      </c>
      <c r="C133" s="54" t="s">
        <v>41</v>
      </c>
      <c r="D133" s="56">
        <v>0</v>
      </c>
      <c r="E133" s="54"/>
      <c r="F133" s="56">
        <v>0</v>
      </c>
    </row>
    <row r="134" spans="1:6" ht="35" customHeight="1" x14ac:dyDescent="0.15">
      <c r="A134" s="57" t="s">
        <v>128</v>
      </c>
      <c r="B134" s="56">
        <v>0</v>
      </c>
      <c r="C134" s="57" t="s">
        <v>130</v>
      </c>
      <c r="D134" s="56">
        <v>0</v>
      </c>
      <c r="E134" s="57" t="s">
        <v>133</v>
      </c>
      <c r="F134" s="56">
        <v>0</v>
      </c>
    </row>
    <row r="135" spans="1:6" ht="35" customHeight="1" x14ac:dyDescent="0.15">
      <c r="A135" s="57" t="s">
        <v>135</v>
      </c>
      <c r="B135" s="56">
        <v>0</v>
      </c>
      <c r="C135" s="57" t="s">
        <v>138</v>
      </c>
      <c r="D135" s="56">
        <v>0</v>
      </c>
      <c r="E135" s="57" t="s">
        <v>140</v>
      </c>
      <c r="F135" s="56">
        <v>0</v>
      </c>
    </row>
    <row r="136" spans="1:6" ht="35" customHeight="1" x14ac:dyDescent="0.15">
      <c r="A136" s="105" t="s">
        <v>42</v>
      </c>
      <c r="B136" s="106"/>
      <c r="C136" s="106"/>
      <c r="D136" s="106"/>
      <c r="E136" s="106"/>
      <c r="F136" s="56">
        <v>0</v>
      </c>
    </row>
    <row r="137" spans="1:6" ht="35" customHeight="1" x14ac:dyDescent="0.15">
      <c r="A137" s="52" t="s">
        <v>207</v>
      </c>
      <c r="B137" s="103">
        <v>46038</v>
      </c>
      <c r="C137" s="104"/>
      <c r="D137" s="104"/>
      <c r="E137" s="104"/>
      <c r="F137" s="104"/>
    </row>
    <row r="138" spans="1:6" ht="35" customHeight="1" x14ac:dyDescent="0.15">
      <c r="A138" s="54" t="s">
        <v>17</v>
      </c>
      <c r="B138" s="55">
        <v>0</v>
      </c>
      <c r="C138" s="54" t="s">
        <v>49</v>
      </c>
      <c r="D138" s="56">
        <v>0</v>
      </c>
      <c r="E138" s="54" t="s">
        <v>18</v>
      </c>
      <c r="F138" s="56">
        <v>0</v>
      </c>
    </row>
    <row r="139" spans="1:6" ht="35" customHeight="1" x14ac:dyDescent="0.15">
      <c r="A139" s="54" t="s">
        <v>19</v>
      </c>
      <c r="B139" s="56">
        <v>0</v>
      </c>
      <c r="C139" s="54" t="s">
        <v>35</v>
      </c>
      <c r="D139" s="56">
        <v>0</v>
      </c>
      <c r="E139" s="54" t="s">
        <v>36</v>
      </c>
      <c r="F139" s="56">
        <v>0</v>
      </c>
    </row>
    <row r="140" spans="1:6" ht="35" customHeight="1" x14ac:dyDescent="0.15">
      <c r="A140" s="54" t="s">
        <v>58</v>
      </c>
      <c r="B140" s="56">
        <v>0</v>
      </c>
      <c r="C140" s="54" t="s">
        <v>37</v>
      </c>
      <c r="D140" s="56">
        <v>0</v>
      </c>
      <c r="E140" s="54" t="s">
        <v>22</v>
      </c>
      <c r="F140" s="56">
        <v>0</v>
      </c>
    </row>
    <row r="141" spans="1:6" ht="35" customHeight="1" x14ac:dyDescent="0.15">
      <c r="A141" s="54" t="s">
        <v>23</v>
      </c>
      <c r="B141" s="56">
        <v>0</v>
      </c>
      <c r="C141" s="54" t="s">
        <v>38</v>
      </c>
      <c r="D141" s="56">
        <v>0</v>
      </c>
      <c r="E141" s="54" t="s">
        <v>39</v>
      </c>
      <c r="F141" s="56">
        <v>0</v>
      </c>
    </row>
    <row r="142" spans="1:6" ht="35" customHeight="1" x14ac:dyDescent="0.15">
      <c r="A142" s="54" t="s">
        <v>40</v>
      </c>
      <c r="B142" s="56">
        <v>0</v>
      </c>
      <c r="C142" s="54" t="s">
        <v>41</v>
      </c>
      <c r="D142" s="56">
        <v>0</v>
      </c>
      <c r="E142" s="54"/>
      <c r="F142" s="56">
        <v>0</v>
      </c>
    </row>
    <row r="143" spans="1:6" ht="35" customHeight="1" x14ac:dyDescent="0.15">
      <c r="A143" s="57" t="s">
        <v>128</v>
      </c>
      <c r="B143" s="56">
        <v>0</v>
      </c>
      <c r="C143" s="57" t="s">
        <v>130</v>
      </c>
      <c r="D143" s="56">
        <v>0</v>
      </c>
      <c r="E143" s="57" t="s">
        <v>133</v>
      </c>
      <c r="F143" s="56">
        <v>0</v>
      </c>
    </row>
    <row r="144" spans="1:6" ht="35" customHeight="1" x14ac:dyDescent="0.15">
      <c r="A144" s="57" t="s">
        <v>135</v>
      </c>
      <c r="B144" s="56">
        <v>0</v>
      </c>
      <c r="C144" s="57" t="s">
        <v>138</v>
      </c>
      <c r="D144" s="56">
        <v>0</v>
      </c>
      <c r="E144" s="57" t="s">
        <v>140</v>
      </c>
      <c r="F144" s="56">
        <v>0</v>
      </c>
    </row>
    <row r="145" spans="1:6" ht="35" customHeight="1" x14ac:dyDescent="0.15">
      <c r="A145" s="105" t="s">
        <v>42</v>
      </c>
      <c r="B145" s="106"/>
      <c r="C145" s="106"/>
      <c r="D145" s="106"/>
      <c r="E145" s="106"/>
      <c r="F145" s="56">
        <v>0</v>
      </c>
    </row>
    <row r="146" spans="1:6" ht="35" customHeight="1" x14ac:dyDescent="0.15">
      <c r="A146" s="52" t="s">
        <v>207</v>
      </c>
      <c r="B146" s="103">
        <v>46039</v>
      </c>
      <c r="C146" s="104"/>
      <c r="D146" s="104"/>
      <c r="E146" s="104"/>
      <c r="F146" s="104"/>
    </row>
    <row r="147" spans="1:6" ht="35" customHeight="1" x14ac:dyDescent="0.15">
      <c r="A147" s="54" t="s">
        <v>17</v>
      </c>
      <c r="B147" s="55">
        <v>0</v>
      </c>
      <c r="C147" s="54" t="s">
        <v>49</v>
      </c>
      <c r="D147" s="56">
        <v>0</v>
      </c>
      <c r="E147" s="54" t="s">
        <v>18</v>
      </c>
      <c r="F147" s="56">
        <v>0</v>
      </c>
    </row>
    <row r="148" spans="1:6" ht="35" customHeight="1" x14ac:dyDescent="0.15">
      <c r="A148" s="54" t="s">
        <v>19</v>
      </c>
      <c r="B148" s="56">
        <v>0</v>
      </c>
      <c r="C148" s="54" t="s">
        <v>35</v>
      </c>
      <c r="D148" s="56">
        <v>0</v>
      </c>
      <c r="E148" s="54" t="s">
        <v>36</v>
      </c>
      <c r="F148" s="56">
        <v>0</v>
      </c>
    </row>
    <row r="149" spans="1:6" ht="35" customHeight="1" x14ac:dyDescent="0.15">
      <c r="A149" s="54" t="s">
        <v>58</v>
      </c>
      <c r="B149" s="56">
        <v>0</v>
      </c>
      <c r="C149" s="54" t="s">
        <v>37</v>
      </c>
      <c r="D149" s="56">
        <v>0</v>
      </c>
      <c r="E149" s="54" t="s">
        <v>22</v>
      </c>
      <c r="F149" s="56">
        <v>0</v>
      </c>
    </row>
    <row r="150" spans="1:6" ht="35" customHeight="1" x14ac:dyDescent="0.15">
      <c r="A150" s="54" t="s">
        <v>23</v>
      </c>
      <c r="B150" s="56">
        <v>0</v>
      </c>
      <c r="C150" s="54" t="s">
        <v>38</v>
      </c>
      <c r="D150" s="56">
        <v>0</v>
      </c>
      <c r="E150" s="54" t="s">
        <v>39</v>
      </c>
      <c r="F150" s="56">
        <v>0</v>
      </c>
    </row>
    <row r="151" spans="1:6" ht="35" customHeight="1" x14ac:dyDescent="0.15">
      <c r="A151" s="54" t="s">
        <v>40</v>
      </c>
      <c r="B151" s="56">
        <v>0</v>
      </c>
      <c r="C151" s="54" t="s">
        <v>41</v>
      </c>
      <c r="D151" s="56">
        <v>0</v>
      </c>
      <c r="E151" s="54"/>
      <c r="F151" s="56">
        <v>0</v>
      </c>
    </row>
    <row r="152" spans="1:6" ht="35" customHeight="1" x14ac:dyDescent="0.15">
      <c r="A152" s="57" t="s">
        <v>128</v>
      </c>
      <c r="B152" s="56">
        <v>0</v>
      </c>
      <c r="C152" s="57" t="s">
        <v>130</v>
      </c>
      <c r="D152" s="56">
        <v>0</v>
      </c>
      <c r="E152" s="57" t="s">
        <v>133</v>
      </c>
      <c r="F152" s="56">
        <v>0</v>
      </c>
    </row>
    <row r="153" spans="1:6" ht="35" customHeight="1" x14ac:dyDescent="0.15">
      <c r="A153" s="57" t="s">
        <v>135</v>
      </c>
      <c r="B153" s="56">
        <v>0</v>
      </c>
      <c r="C153" s="57" t="s">
        <v>138</v>
      </c>
      <c r="D153" s="56">
        <v>0</v>
      </c>
      <c r="E153" s="57" t="s">
        <v>140</v>
      </c>
      <c r="F153" s="56">
        <v>0</v>
      </c>
    </row>
    <row r="154" spans="1:6" ht="35" customHeight="1" x14ac:dyDescent="0.15">
      <c r="A154" s="105" t="s">
        <v>42</v>
      </c>
      <c r="B154" s="106"/>
      <c r="C154" s="106"/>
      <c r="D154" s="106"/>
      <c r="E154" s="106"/>
      <c r="F154" s="56">
        <v>0</v>
      </c>
    </row>
    <row r="155" spans="1:6" ht="35" customHeight="1" x14ac:dyDescent="0.15">
      <c r="A155" s="52" t="s">
        <v>207</v>
      </c>
      <c r="B155" s="103">
        <v>46040</v>
      </c>
      <c r="C155" s="104"/>
      <c r="D155" s="104"/>
      <c r="E155" s="104"/>
      <c r="F155" s="104"/>
    </row>
    <row r="156" spans="1:6" ht="35" customHeight="1" x14ac:dyDescent="0.15">
      <c r="A156" s="54" t="s">
        <v>17</v>
      </c>
      <c r="B156" s="55">
        <v>0</v>
      </c>
      <c r="C156" s="54" t="s">
        <v>49</v>
      </c>
      <c r="D156" s="56">
        <v>0</v>
      </c>
      <c r="E156" s="54" t="s">
        <v>18</v>
      </c>
      <c r="F156" s="56">
        <v>0</v>
      </c>
    </row>
    <row r="157" spans="1:6" ht="35" customHeight="1" x14ac:dyDescent="0.15">
      <c r="A157" s="54" t="s">
        <v>19</v>
      </c>
      <c r="B157" s="56">
        <v>0</v>
      </c>
      <c r="C157" s="54" t="s">
        <v>35</v>
      </c>
      <c r="D157" s="56">
        <v>0</v>
      </c>
      <c r="E157" s="54" t="s">
        <v>36</v>
      </c>
      <c r="F157" s="56">
        <v>0</v>
      </c>
    </row>
    <row r="158" spans="1:6" ht="35" customHeight="1" x14ac:dyDescent="0.15">
      <c r="A158" s="54" t="s">
        <v>58</v>
      </c>
      <c r="B158" s="56">
        <v>0</v>
      </c>
      <c r="C158" s="54" t="s">
        <v>37</v>
      </c>
      <c r="D158" s="56">
        <v>0</v>
      </c>
      <c r="E158" s="54" t="s">
        <v>22</v>
      </c>
      <c r="F158" s="56">
        <v>0</v>
      </c>
    </row>
    <row r="159" spans="1:6" ht="35" customHeight="1" x14ac:dyDescent="0.15">
      <c r="A159" s="54" t="s">
        <v>23</v>
      </c>
      <c r="B159" s="56">
        <v>0</v>
      </c>
      <c r="C159" s="54" t="s">
        <v>38</v>
      </c>
      <c r="D159" s="56">
        <v>0</v>
      </c>
      <c r="E159" s="54" t="s">
        <v>39</v>
      </c>
      <c r="F159" s="56">
        <v>0</v>
      </c>
    </row>
    <row r="160" spans="1:6" ht="35" customHeight="1" x14ac:dyDescent="0.15">
      <c r="A160" s="54" t="s">
        <v>40</v>
      </c>
      <c r="B160" s="56">
        <v>0</v>
      </c>
      <c r="C160" s="54" t="s">
        <v>41</v>
      </c>
      <c r="D160" s="56">
        <v>0</v>
      </c>
      <c r="E160" s="54"/>
      <c r="F160" s="56">
        <v>0</v>
      </c>
    </row>
    <row r="161" spans="1:6" ht="35" customHeight="1" x14ac:dyDescent="0.15">
      <c r="A161" s="57" t="s">
        <v>128</v>
      </c>
      <c r="B161" s="56">
        <v>0</v>
      </c>
      <c r="C161" s="57" t="s">
        <v>130</v>
      </c>
      <c r="D161" s="56">
        <v>0</v>
      </c>
      <c r="E161" s="57" t="s">
        <v>133</v>
      </c>
      <c r="F161" s="56">
        <v>0</v>
      </c>
    </row>
    <row r="162" spans="1:6" ht="35" customHeight="1" x14ac:dyDescent="0.15">
      <c r="A162" s="57" t="s">
        <v>135</v>
      </c>
      <c r="B162" s="56">
        <v>0</v>
      </c>
      <c r="C162" s="57" t="s">
        <v>138</v>
      </c>
      <c r="D162" s="56">
        <v>0</v>
      </c>
      <c r="E162" s="57" t="s">
        <v>140</v>
      </c>
      <c r="F162" s="56">
        <v>0</v>
      </c>
    </row>
    <row r="163" spans="1:6" ht="35" customHeight="1" x14ac:dyDescent="0.15">
      <c r="A163" s="105" t="s">
        <v>42</v>
      </c>
      <c r="B163" s="106"/>
      <c r="C163" s="106"/>
      <c r="D163" s="106"/>
      <c r="E163" s="106"/>
      <c r="F163" s="56">
        <v>0</v>
      </c>
    </row>
    <row r="164" spans="1:6" ht="35" customHeight="1" x14ac:dyDescent="0.15">
      <c r="A164" s="52" t="s">
        <v>207</v>
      </c>
      <c r="B164" s="103">
        <v>46041</v>
      </c>
      <c r="C164" s="104"/>
      <c r="D164" s="104"/>
      <c r="E164" s="104"/>
      <c r="F164" s="104"/>
    </row>
    <row r="165" spans="1:6" ht="35" customHeight="1" x14ac:dyDescent="0.15">
      <c r="A165" s="54" t="s">
        <v>17</v>
      </c>
      <c r="B165" s="55">
        <v>0</v>
      </c>
      <c r="C165" s="54" t="s">
        <v>49</v>
      </c>
      <c r="D165" s="56">
        <v>0</v>
      </c>
      <c r="E165" s="54" t="s">
        <v>18</v>
      </c>
      <c r="F165" s="56">
        <v>0</v>
      </c>
    </row>
    <row r="166" spans="1:6" ht="35" customHeight="1" x14ac:dyDescent="0.15">
      <c r="A166" s="54" t="s">
        <v>19</v>
      </c>
      <c r="B166" s="56">
        <v>0</v>
      </c>
      <c r="C166" s="54" t="s">
        <v>35</v>
      </c>
      <c r="D166" s="56">
        <v>0</v>
      </c>
      <c r="E166" s="54" t="s">
        <v>36</v>
      </c>
      <c r="F166" s="56">
        <v>0</v>
      </c>
    </row>
    <row r="167" spans="1:6" ht="35" customHeight="1" x14ac:dyDescent="0.15">
      <c r="A167" s="54" t="s">
        <v>58</v>
      </c>
      <c r="B167" s="56">
        <v>0</v>
      </c>
      <c r="C167" s="54" t="s">
        <v>37</v>
      </c>
      <c r="D167" s="56">
        <v>0</v>
      </c>
      <c r="E167" s="54" t="s">
        <v>22</v>
      </c>
      <c r="F167" s="56">
        <v>0</v>
      </c>
    </row>
    <row r="168" spans="1:6" ht="35" customHeight="1" x14ac:dyDescent="0.15">
      <c r="A168" s="54" t="s">
        <v>23</v>
      </c>
      <c r="B168" s="56">
        <v>0</v>
      </c>
      <c r="C168" s="54" t="s">
        <v>38</v>
      </c>
      <c r="D168" s="56">
        <v>0</v>
      </c>
      <c r="E168" s="54" t="s">
        <v>39</v>
      </c>
      <c r="F168" s="56">
        <v>0</v>
      </c>
    </row>
    <row r="169" spans="1:6" ht="35" customHeight="1" x14ac:dyDescent="0.15">
      <c r="A169" s="54" t="s">
        <v>40</v>
      </c>
      <c r="B169" s="56">
        <v>0</v>
      </c>
      <c r="C169" s="54" t="s">
        <v>41</v>
      </c>
      <c r="D169" s="56">
        <v>0</v>
      </c>
      <c r="E169" s="54"/>
      <c r="F169" s="56">
        <v>0</v>
      </c>
    </row>
    <row r="170" spans="1:6" ht="35" customHeight="1" x14ac:dyDescent="0.15">
      <c r="A170" s="57" t="s">
        <v>128</v>
      </c>
      <c r="B170" s="56">
        <v>0</v>
      </c>
      <c r="C170" s="57" t="s">
        <v>130</v>
      </c>
      <c r="D170" s="56">
        <v>0</v>
      </c>
      <c r="E170" s="57" t="s">
        <v>133</v>
      </c>
      <c r="F170" s="56">
        <v>0</v>
      </c>
    </row>
    <row r="171" spans="1:6" ht="35" customHeight="1" x14ac:dyDescent="0.15">
      <c r="A171" s="57" t="s">
        <v>135</v>
      </c>
      <c r="B171" s="56">
        <v>0</v>
      </c>
      <c r="C171" s="57" t="s">
        <v>138</v>
      </c>
      <c r="D171" s="56">
        <v>0</v>
      </c>
      <c r="E171" s="57" t="s">
        <v>140</v>
      </c>
      <c r="F171" s="56">
        <v>0</v>
      </c>
    </row>
    <row r="172" spans="1:6" ht="35" customHeight="1" x14ac:dyDescent="0.15">
      <c r="A172" s="105" t="s">
        <v>42</v>
      </c>
      <c r="B172" s="106"/>
      <c r="C172" s="106"/>
      <c r="D172" s="106"/>
      <c r="E172" s="106"/>
      <c r="F172" s="56">
        <v>0</v>
      </c>
    </row>
    <row r="173" spans="1:6" ht="35" customHeight="1" x14ac:dyDescent="0.15">
      <c r="A173" s="52" t="s">
        <v>207</v>
      </c>
      <c r="B173" s="103">
        <v>46042</v>
      </c>
      <c r="C173" s="104"/>
      <c r="D173" s="104"/>
      <c r="E173" s="104"/>
      <c r="F173" s="104"/>
    </row>
    <row r="174" spans="1:6" ht="35" customHeight="1" x14ac:dyDescent="0.15">
      <c r="A174" s="54" t="s">
        <v>17</v>
      </c>
      <c r="B174" s="55">
        <v>0</v>
      </c>
      <c r="C174" s="54" t="s">
        <v>49</v>
      </c>
      <c r="D174" s="56">
        <v>0</v>
      </c>
      <c r="E174" s="54" t="s">
        <v>18</v>
      </c>
      <c r="F174" s="56">
        <v>0</v>
      </c>
    </row>
    <row r="175" spans="1:6" ht="35" customHeight="1" x14ac:dyDescent="0.15">
      <c r="A175" s="54" t="s">
        <v>19</v>
      </c>
      <c r="B175" s="56">
        <v>0</v>
      </c>
      <c r="C175" s="54" t="s">
        <v>35</v>
      </c>
      <c r="D175" s="56">
        <v>0</v>
      </c>
      <c r="E175" s="54" t="s">
        <v>36</v>
      </c>
      <c r="F175" s="56">
        <v>0</v>
      </c>
    </row>
    <row r="176" spans="1:6" ht="35" customHeight="1" x14ac:dyDescent="0.15">
      <c r="A176" s="54" t="s">
        <v>58</v>
      </c>
      <c r="B176" s="56">
        <v>0</v>
      </c>
      <c r="C176" s="54" t="s">
        <v>37</v>
      </c>
      <c r="D176" s="56">
        <v>0</v>
      </c>
      <c r="E176" s="54" t="s">
        <v>22</v>
      </c>
      <c r="F176" s="56">
        <v>0</v>
      </c>
    </row>
    <row r="177" spans="1:6" ht="35" customHeight="1" x14ac:dyDescent="0.15">
      <c r="A177" s="54" t="s">
        <v>23</v>
      </c>
      <c r="B177" s="56">
        <v>0</v>
      </c>
      <c r="C177" s="54" t="s">
        <v>38</v>
      </c>
      <c r="D177" s="56">
        <v>0</v>
      </c>
      <c r="E177" s="54" t="s">
        <v>39</v>
      </c>
      <c r="F177" s="56">
        <v>0</v>
      </c>
    </row>
    <row r="178" spans="1:6" ht="35" customHeight="1" x14ac:dyDescent="0.15">
      <c r="A178" s="54" t="s">
        <v>40</v>
      </c>
      <c r="B178" s="56">
        <v>0</v>
      </c>
      <c r="C178" s="54" t="s">
        <v>41</v>
      </c>
      <c r="D178" s="56">
        <v>0</v>
      </c>
      <c r="E178" s="54"/>
      <c r="F178" s="56">
        <v>0</v>
      </c>
    </row>
    <row r="179" spans="1:6" ht="35" customHeight="1" x14ac:dyDescent="0.15">
      <c r="A179" s="57" t="s">
        <v>128</v>
      </c>
      <c r="B179" s="56">
        <v>0</v>
      </c>
      <c r="C179" s="57" t="s">
        <v>130</v>
      </c>
      <c r="D179" s="56">
        <v>0</v>
      </c>
      <c r="E179" s="57" t="s">
        <v>133</v>
      </c>
      <c r="F179" s="56">
        <v>0</v>
      </c>
    </row>
    <row r="180" spans="1:6" ht="35" customHeight="1" x14ac:dyDescent="0.15">
      <c r="A180" s="57" t="s">
        <v>135</v>
      </c>
      <c r="B180" s="56">
        <v>0</v>
      </c>
      <c r="C180" s="57" t="s">
        <v>138</v>
      </c>
      <c r="D180" s="56">
        <v>0</v>
      </c>
      <c r="E180" s="57" t="s">
        <v>140</v>
      </c>
      <c r="F180" s="56">
        <v>0</v>
      </c>
    </row>
    <row r="181" spans="1:6" ht="35" customHeight="1" x14ac:dyDescent="0.15">
      <c r="A181" s="105" t="s">
        <v>42</v>
      </c>
      <c r="B181" s="106"/>
      <c r="C181" s="106"/>
      <c r="D181" s="106"/>
      <c r="E181" s="106"/>
      <c r="F181" s="56">
        <v>0</v>
      </c>
    </row>
    <row r="182" spans="1:6" ht="35" customHeight="1" x14ac:dyDescent="0.15">
      <c r="A182" s="52" t="s">
        <v>207</v>
      </c>
      <c r="B182" s="103">
        <v>46043</v>
      </c>
      <c r="C182" s="104"/>
      <c r="D182" s="104"/>
      <c r="E182" s="104"/>
      <c r="F182" s="104"/>
    </row>
    <row r="183" spans="1:6" ht="35" customHeight="1" x14ac:dyDescent="0.15">
      <c r="A183" s="54" t="s">
        <v>17</v>
      </c>
      <c r="B183" s="55">
        <v>0</v>
      </c>
      <c r="C183" s="54" t="s">
        <v>49</v>
      </c>
      <c r="D183" s="56">
        <v>0</v>
      </c>
      <c r="E183" s="54" t="s">
        <v>18</v>
      </c>
      <c r="F183" s="56">
        <v>0</v>
      </c>
    </row>
    <row r="184" spans="1:6" ht="35" customHeight="1" x14ac:dyDescent="0.15">
      <c r="A184" s="54" t="s">
        <v>19</v>
      </c>
      <c r="B184" s="56">
        <v>0</v>
      </c>
      <c r="C184" s="54" t="s">
        <v>35</v>
      </c>
      <c r="D184" s="56">
        <v>0</v>
      </c>
      <c r="E184" s="54" t="s">
        <v>36</v>
      </c>
      <c r="F184" s="56">
        <v>0</v>
      </c>
    </row>
    <row r="185" spans="1:6" ht="35" customHeight="1" x14ac:dyDescent="0.15">
      <c r="A185" s="54" t="s">
        <v>58</v>
      </c>
      <c r="B185" s="56">
        <v>0</v>
      </c>
      <c r="C185" s="54" t="s">
        <v>37</v>
      </c>
      <c r="D185" s="56">
        <v>0</v>
      </c>
      <c r="E185" s="54" t="s">
        <v>22</v>
      </c>
      <c r="F185" s="56">
        <v>0</v>
      </c>
    </row>
    <row r="186" spans="1:6" ht="35" customHeight="1" x14ac:dyDescent="0.15">
      <c r="A186" s="54" t="s">
        <v>23</v>
      </c>
      <c r="B186" s="56">
        <v>0</v>
      </c>
      <c r="C186" s="54" t="s">
        <v>38</v>
      </c>
      <c r="D186" s="56">
        <v>0</v>
      </c>
      <c r="E186" s="54" t="s">
        <v>39</v>
      </c>
      <c r="F186" s="56">
        <v>0</v>
      </c>
    </row>
    <row r="187" spans="1:6" ht="35" customHeight="1" x14ac:dyDescent="0.15">
      <c r="A187" s="54" t="s">
        <v>40</v>
      </c>
      <c r="B187" s="56">
        <v>0</v>
      </c>
      <c r="C187" s="54" t="s">
        <v>41</v>
      </c>
      <c r="D187" s="56">
        <v>0</v>
      </c>
      <c r="E187" s="54"/>
      <c r="F187" s="56">
        <v>0</v>
      </c>
    </row>
    <row r="188" spans="1:6" ht="35" customHeight="1" x14ac:dyDescent="0.15">
      <c r="A188" s="57" t="s">
        <v>128</v>
      </c>
      <c r="B188" s="56">
        <v>0</v>
      </c>
      <c r="C188" s="57" t="s">
        <v>130</v>
      </c>
      <c r="D188" s="56">
        <v>0</v>
      </c>
      <c r="E188" s="57" t="s">
        <v>133</v>
      </c>
      <c r="F188" s="56">
        <v>0</v>
      </c>
    </row>
    <row r="189" spans="1:6" ht="35" customHeight="1" x14ac:dyDescent="0.15">
      <c r="A189" s="57" t="s">
        <v>135</v>
      </c>
      <c r="B189" s="56">
        <v>0</v>
      </c>
      <c r="C189" s="57" t="s">
        <v>138</v>
      </c>
      <c r="D189" s="56">
        <v>0</v>
      </c>
      <c r="E189" s="57" t="s">
        <v>140</v>
      </c>
      <c r="F189" s="56">
        <v>0</v>
      </c>
    </row>
    <row r="190" spans="1:6" ht="35" customHeight="1" x14ac:dyDescent="0.15">
      <c r="A190" s="105" t="s">
        <v>42</v>
      </c>
      <c r="B190" s="106"/>
      <c r="C190" s="106"/>
      <c r="D190" s="106"/>
      <c r="E190" s="106"/>
      <c r="F190" s="56">
        <v>0</v>
      </c>
    </row>
    <row r="191" spans="1:6" ht="35" customHeight="1" x14ac:dyDescent="0.15">
      <c r="A191" s="52" t="s">
        <v>207</v>
      </c>
      <c r="B191" s="103">
        <v>46044</v>
      </c>
      <c r="C191" s="104"/>
      <c r="D191" s="104"/>
      <c r="E191" s="104"/>
      <c r="F191" s="104"/>
    </row>
    <row r="192" spans="1:6" ht="35" customHeight="1" x14ac:dyDescent="0.15">
      <c r="A192" s="54" t="s">
        <v>17</v>
      </c>
      <c r="B192" s="55">
        <v>0</v>
      </c>
      <c r="C192" s="54" t="s">
        <v>49</v>
      </c>
      <c r="D192" s="56">
        <v>0</v>
      </c>
      <c r="E192" s="54" t="s">
        <v>18</v>
      </c>
      <c r="F192" s="56">
        <v>0</v>
      </c>
    </row>
    <row r="193" spans="1:6" ht="35" customHeight="1" x14ac:dyDescent="0.15">
      <c r="A193" s="54" t="s">
        <v>19</v>
      </c>
      <c r="B193" s="56">
        <v>0</v>
      </c>
      <c r="C193" s="54" t="s">
        <v>35</v>
      </c>
      <c r="D193" s="56">
        <v>0</v>
      </c>
      <c r="E193" s="54" t="s">
        <v>36</v>
      </c>
      <c r="F193" s="56">
        <v>0</v>
      </c>
    </row>
    <row r="194" spans="1:6" ht="35" customHeight="1" x14ac:dyDescent="0.15">
      <c r="A194" s="54" t="s">
        <v>58</v>
      </c>
      <c r="B194" s="56">
        <v>0</v>
      </c>
      <c r="C194" s="54" t="s">
        <v>37</v>
      </c>
      <c r="D194" s="56">
        <v>0</v>
      </c>
      <c r="E194" s="54" t="s">
        <v>22</v>
      </c>
      <c r="F194" s="56">
        <v>0</v>
      </c>
    </row>
    <row r="195" spans="1:6" ht="35" customHeight="1" x14ac:dyDescent="0.15">
      <c r="A195" s="54" t="s">
        <v>23</v>
      </c>
      <c r="B195" s="56">
        <v>0</v>
      </c>
      <c r="C195" s="54" t="s">
        <v>38</v>
      </c>
      <c r="D195" s="56">
        <v>0</v>
      </c>
      <c r="E195" s="54" t="s">
        <v>39</v>
      </c>
      <c r="F195" s="56">
        <v>0</v>
      </c>
    </row>
    <row r="196" spans="1:6" ht="35" customHeight="1" x14ac:dyDescent="0.15">
      <c r="A196" s="54" t="s">
        <v>40</v>
      </c>
      <c r="B196" s="56">
        <v>0</v>
      </c>
      <c r="C196" s="54" t="s">
        <v>41</v>
      </c>
      <c r="D196" s="56">
        <v>0</v>
      </c>
      <c r="E196" s="54"/>
      <c r="F196" s="56">
        <v>0</v>
      </c>
    </row>
    <row r="197" spans="1:6" ht="35" customHeight="1" x14ac:dyDescent="0.15">
      <c r="A197" s="57" t="s">
        <v>128</v>
      </c>
      <c r="B197" s="56">
        <v>0</v>
      </c>
      <c r="C197" s="57" t="s">
        <v>130</v>
      </c>
      <c r="D197" s="56">
        <v>0</v>
      </c>
      <c r="E197" s="57" t="s">
        <v>133</v>
      </c>
      <c r="F197" s="56">
        <v>0</v>
      </c>
    </row>
    <row r="198" spans="1:6" ht="35" customHeight="1" x14ac:dyDescent="0.15">
      <c r="A198" s="57" t="s">
        <v>135</v>
      </c>
      <c r="B198" s="56">
        <v>0</v>
      </c>
      <c r="C198" s="57" t="s">
        <v>138</v>
      </c>
      <c r="D198" s="56">
        <v>0</v>
      </c>
      <c r="E198" s="57" t="s">
        <v>140</v>
      </c>
      <c r="F198" s="56">
        <v>0</v>
      </c>
    </row>
    <row r="199" spans="1:6" ht="35" customHeight="1" x14ac:dyDescent="0.15">
      <c r="A199" s="105" t="s">
        <v>42</v>
      </c>
      <c r="B199" s="106"/>
      <c r="C199" s="106"/>
      <c r="D199" s="106"/>
      <c r="E199" s="106"/>
      <c r="F199" s="56">
        <v>0</v>
      </c>
    </row>
    <row r="200" spans="1:6" ht="35" customHeight="1" x14ac:dyDescent="0.15">
      <c r="A200" s="52" t="s">
        <v>207</v>
      </c>
      <c r="B200" s="103">
        <v>46045</v>
      </c>
      <c r="C200" s="104"/>
      <c r="D200" s="104"/>
      <c r="E200" s="104"/>
      <c r="F200" s="104"/>
    </row>
    <row r="201" spans="1:6" ht="35" customHeight="1" x14ac:dyDescent="0.15">
      <c r="A201" s="54" t="s">
        <v>17</v>
      </c>
      <c r="B201" s="55">
        <v>0</v>
      </c>
      <c r="C201" s="54" t="s">
        <v>49</v>
      </c>
      <c r="D201" s="56">
        <v>0</v>
      </c>
      <c r="E201" s="54" t="s">
        <v>18</v>
      </c>
      <c r="F201" s="56">
        <v>0</v>
      </c>
    </row>
    <row r="202" spans="1:6" ht="35" customHeight="1" x14ac:dyDescent="0.15">
      <c r="A202" s="54" t="s">
        <v>19</v>
      </c>
      <c r="B202" s="56">
        <v>0</v>
      </c>
      <c r="C202" s="54" t="s">
        <v>35</v>
      </c>
      <c r="D202" s="56">
        <v>0</v>
      </c>
      <c r="E202" s="54" t="s">
        <v>36</v>
      </c>
      <c r="F202" s="56">
        <v>0</v>
      </c>
    </row>
    <row r="203" spans="1:6" ht="35" customHeight="1" x14ac:dyDescent="0.15">
      <c r="A203" s="54" t="s">
        <v>58</v>
      </c>
      <c r="B203" s="56">
        <v>0</v>
      </c>
      <c r="C203" s="54" t="s">
        <v>37</v>
      </c>
      <c r="D203" s="56">
        <v>0</v>
      </c>
      <c r="E203" s="54" t="s">
        <v>22</v>
      </c>
      <c r="F203" s="56">
        <v>0</v>
      </c>
    </row>
    <row r="204" spans="1:6" ht="35" customHeight="1" x14ac:dyDescent="0.15">
      <c r="A204" s="54" t="s">
        <v>23</v>
      </c>
      <c r="B204" s="56">
        <v>0</v>
      </c>
      <c r="C204" s="54" t="s">
        <v>38</v>
      </c>
      <c r="D204" s="56">
        <v>0</v>
      </c>
      <c r="E204" s="54" t="s">
        <v>39</v>
      </c>
      <c r="F204" s="56">
        <v>0</v>
      </c>
    </row>
    <row r="205" spans="1:6" ht="35" customHeight="1" x14ac:dyDescent="0.15">
      <c r="A205" s="54" t="s">
        <v>40</v>
      </c>
      <c r="B205" s="56">
        <v>0</v>
      </c>
      <c r="C205" s="54" t="s">
        <v>41</v>
      </c>
      <c r="D205" s="56">
        <v>0</v>
      </c>
      <c r="E205" s="54"/>
      <c r="F205" s="56">
        <v>0</v>
      </c>
    </row>
    <row r="206" spans="1:6" ht="35" customHeight="1" x14ac:dyDescent="0.15">
      <c r="A206" s="57" t="s">
        <v>128</v>
      </c>
      <c r="B206" s="56">
        <v>0</v>
      </c>
      <c r="C206" s="57" t="s">
        <v>130</v>
      </c>
      <c r="D206" s="56">
        <v>0</v>
      </c>
      <c r="E206" s="57" t="s">
        <v>133</v>
      </c>
      <c r="F206" s="56">
        <v>0</v>
      </c>
    </row>
    <row r="207" spans="1:6" ht="35" customHeight="1" x14ac:dyDescent="0.15">
      <c r="A207" s="57" t="s">
        <v>135</v>
      </c>
      <c r="B207" s="56">
        <v>0</v>
      </c>
      <c r="C207" s="57" t="s">
        <v>138</v>
      </c>
      <c r="D207" s="56">
        <v>0</v>
      </c>
      <c r="E207" s="57" t="s">
        <v>140</v>
      </c>
      <c r="F207" s="56">
        <v>0</v>
      </c>
    </row>
    <row r="208" spans="1:6" ht="35" customHeight="1" x14ac:dyDescent="0.15">
      <c r="A208" s="105" t="s">
        <v>42</v>
      </c>
      <c r="B208" s="106"/>
      <c r="C208" s="106"/>
      <c r="D208" s="106"/>
      <c r="E208" s="106"/>
      <c r="F208" s="56">
        <v>0</v>
      </c>
    </row>
    <row r="209" spans="1:6" ht="35" customHeight="1" x14ac:dyDescent="0.15">
      <c r="A209" s="52" t="s">
        <v>207</v>
      </c>
      <c r="B209" s="103">
        <v>46046</v>
      </c>
      <c r="C209" s="104"/>
      <c r="D209" s="104"/>
      <c r="E209" s="104"/>
      <c r="F209" s="104"/>
    </row>
    <row r="210" spans="1:6" ht="35" customHeight="1" x14ac:dyDescent="0.15">
      <c r="A210" s="54" t="s">
        <v>17</v>
      </c>
      <c r="B210" s="55">
        <v>0</v>
      </c>
      <c r="C210" s="54" t="s">
        <v>49</v>
      </c>
      <c r="D210" s="56">
        <v>0</v>
      </c>
      <c r="E210" s="54" t="s">
        <v>18</v>
      </c>
      <c r="F210" s="56">
        <v>0</v>
      </c>
    </row>
    <row r="211" spans="1:6" ht="35" customHeight="1" x14ac:dyDescent="0.15">
      <c r="A211" s="54" t="s">
        <v>19</v>
      </c>
      <c r="B211" s="56">
        <v>0</v>
      </c>
      <c r="C211" s="54" t="s">
        <v>35</v>
      </c>
      <c r="D211" s="56">
        <v>0</v>
      </c>
      <c r="E211" s="54" t="s">
        <v>36</v>
      </c>
      <c r="F211" s="56">
        <v>0</v>
      </c>
    </row>
    <row r="212" spans="1:6" ht="35" customHeight="1" x14ac:dyDescent="0.15">
      <c r="A212" s="54" t="s">
        <v>58</v>
      </c>
      <c r="B212" s="56">
        <v>0</v>
      </c>
      <c r="C212" s="54" t="s">
        <v>37</v>
      </c>
      <c r="D212" s="56">
        <v>0</v>
      </c>
      <c r="E212" s="54" t="s">
        <v>22</v>
      </c>
      <c r="F212" s="56">
        <v>0</v>
      </c>
    </row>
    <row r="213" spans="1:6" ht="35" customHeight="1" x14ac:dyDescent="0.15">
      <c r="A213" s="54" t="s">
        <v>23</v>
      </c>
      <c r="B213" s="56">
        <v>0</v>
      </c>
      <c r="C213" s="54" t="s">
        <v>38</v>
      </c>
      <c r="D213" s="56">
        <v>0</v>
      </c>
      <c r="E213" s="54" t="s">
        <v>39</v>
      </c>
      <c r="F213" s="56">
        <v>0</v>
      </c>
    </row>
    <row r="214" spans="1:6" ht="35" customHeight="1" x14ac:dyDescent="0.15">
      <c r="A214" s="54" t="s">
        <v>40</v>
      </c>
      <c r="B214" s="56">
        <v>0</v>
      </c>
      <c r="C214" s="54" t="s">
        <v>41</v>
      </c>
      <c r="D214" s="56">
        <v>0</v>
      </c>
      <c r="E214" s="54"/>
      <c r="F214" s="56">
        <v>0</v>
      </c>
    </row>
    <row r="215" spans="1:6" ht="35" customHeight="1" x14ac:dyDescent="0.15">
      <c r="A215" s="57" t="s">
        <v>128</v>
      </c>
      <c r="B215" s="56">
        <v>0</v>
      </c>
      <c r="C215" s="57" t="s">
        <v>130</v>
      </c>
      <c r="D215" s="56">
        <v>0</v>
      </c>
      <c r="E215" s="57" t="s">
        <v>133</v>
      </c>
      <c r="F215" s="56">
        <v>0</v>
      </c>
    </row>
    <row r="216" spans="1:6" ht="35" customHeight="1" x14ac:dyDescent="0.15">
      <c r="A216" s="57" t="s">
        <v>135</v>
      </c>
      <c r="B216" s="56">
        <v>0</v>
      </c>
      <c r="C216" s="57" t="s">
        <v>138</v>
      </c>
      <c r="D216" s="56">
        <v>0</v>
      </c>
      <c r="E216" s="57" t="s">
        <v>140</v>
      </c>
      <c r="F216" s="56">
        <v>0</v>
      </c>
    </row>
    <row r="217" spans="1:6" ht="35" customHeight="1" x14ac:dyDescent="0.15">
      <c r="A217" s="105" t="s">
        <v>42</v>
      </c>
      <c r="B217" s="106"/>
      <c r="C217" s="106"/>
      <c r="D217" s="106"/>
      <c r="E217" s="106"/>
      <c r="F217" s="56">
        <v>0</v>
      </c>
    </row>
    <row r="218" spans="1:6" ht="35" customHeight="1" x14ac:dyDescent="0.15">
      <c r="A218" s="52" t="s">
        <v>207</v>
      </c>
      <c r="B218" s="103">
        <v>46047</v>
      </c>
      <c r="C218" s="104"/>
      <c r="D218" s="104"/>
      <c r="E218" s="104"/>
      <c r="F218" s="104"/>
    </row>
    <row r="219" spans="1:6" ht="35" customHeight="1" x14ac:dyDescent="0.15">
      <c r="A219" s="54" t="s">
        <v>17</v>
      </c>
      <c r="B219" s="55">
        <v>0</v>
      </c>
      <c r="C219" s="54" t="s">
        <v>49</v>
      </c>
      <c r="D219" s="56">
        <v>0</v>
      </c>
      <c r="E219" s="54" t="s">
        <v>18</v>
      </c>
      <c r="F219" s="56">
        <v>0</v>
      </c>
    </row>
    <row r="220" spans="1:6" ht="35" customHeight="1" x14ac:dyDescent="0.15">
      <c r="A220" s="54" t="s">
        <v>19</v>
      </c>
      <c r="B220" s="56">
        <v>0</v>
      </c>
      <c r="C220" s="54" t="s">
        <v>35</v>
      </c>
      <c r="D220" s="56">
        <v>0</v>
      </c>
      <c r="E220" s="54" t="s">
        <v>36</v>
      </c>
      <c r="F220" s="56">
        <v>0</v>
      </c>
    </row>
    <row r="221" spans="1:6" ht="35" customHeight="1" x14ac:dyDescent="0.15">
      <c r="A221" s="54" t="s">
        <v>58</v>
      </c>
      <c r="B221" s="56">
        <v>0</v>
      </c>
      <c r="C221" s="54" t="s">
        <v>37</v>
      </c>
      <c r="D221" s="56">
        <v>0</v>
      </c>
      <c r="E221" s="54" t="s">
        <v>22</v>
      </c>
      <c r="F221" s="56">
        <v>0</v>
      </c>
    </row>
    <row r="222" spans="1:6" ht="35" customHeight="1" x14ac:dyDescent="0.15">
      <c r="A222" s="54" t="s">
        <v>23</v>
      </c>
      <c r="B222" s="56">
        <v>0</v>
      </c>
      <c r="C222" s="54" t="s">
        <v>38</v>
      </c>
      <c r="D222" s="56">
        <v>0</v>
      </c>
      <c r="E222" s="54" t="s">
        <v>39</v>
      </c>
      <c r="F222" s="56">
        <v>0</v>
      </c>
    </row>
    <row r="223" spans="1:6" ht="35" customHeight="1" x14ac:dyDescent="0.15">
      <c r="A223" s="54" t="s">
        <v>40</v>
      </c>
      <c r="B223" s="56">
        <v>0</v>
      </c>
      <c r="C223" s="54" t="s">
        <v>41</v>
      </c>
      <c r="D223" s="56">
        <v>0</v>
      </c>
      <c r="E223" s="54"/>
      <c r="F223" s="56">
        <v>0</v>
      </c>
    </row>
    <row r="224" spans="1:6" ht="35" customHeight="1" x14ac:dyDescent="0.15">
      <c r="A224" s="57" t="s">
        <v>128</v>
      </c>
      <c r="B224" s="56">
        <v>0</v>
      </c>
      <c r="C224" s="57" t="s">
        <v>130</v>
      </c>
      <c r="D224" s="56">
        <v>0</v>
      </c>
      <c r="E224" s="57" t="s">
        <v>133</v>
      </c>
      <c r="F224" s="56">
        <v>0</v>
      </c>
    </row>
    <row r="225" spans="1:6" ht="35" customHeight="1" x14ac:dyDescent="0.15">
      <c r="A225" s="57" t="s">
        <v>135</v>
      </c>
      <c r="B225" s="56">
        <v>0</v>
      </c>
      <c r="C225" s="57" t="s">
        <v>138</v>
      </c>
      <c r="D225" s="56">
        <v>0</v>
      </c>
      <c r="E225" s="57" t="s">
        <v>140</v>
      </c>
      <c r="F225" s="56">
        <v>0</v>
      </c>
    </row>
    <row r="226" spans="1:6" ht="35" customHeight="1" x14ac:dyDescent="0.15">
      <c r="A226" s="105" t="s">
        <v>42</v>
      </c>
      <c r="B226" s="106"/>
      <c r="C226" s="106"/>
      <c r="D226" s="106"/>
      <c r="E226" s="106"/>
      <c r="F226" s="56">
        <v>0</v>
      </c>
    </row>
    <row r="227" spans="1:6" ht="35" customHeight="1" x14ac:dyDescent="0.15">
      <c r="A227" s="52" t="s">
        <v>207</v>
      </c>
      <c r="B227" s="103">
        <v>46048</v>
      </c>
      <c r="C227" s="104"/>
      <c r="D227" s="104"/>
      <c r="E227" s="104"/>
      <c r="F227" s="104"/>
    </row>
    <row r="228" spans="1:6" ht="35" customHeight="1" x14ac:dyDescent="0.15">
      <c r="A228" s="54" t="s">
        <v>17</v>
      </c>
      <c r="B228" s="55">
        <v>0</v>
      </c>
      <c r="C228" s="54" t="s">
        <v>49</v>
      </c>
      <c r="D228" s="56">
        <v>0</v>
      </c>
      <c r="E228" s="54" t="s">
        <v>18</v>
      </c>
      <c r="F228" s="56">
        <v>0</v>
      </c>
    </row>
    <row r="229" spans="1:6" ht="35" customHeight="1" x14ac:dyDescent="0.15">
      <c r="A229" s="54" t="s">
        <v>19</v>
      </c>
      <c r="B229" s="56">
        <v>0</v>
      </c>
      <c r="C229" s="54" t="s">
        <v>35</v>
      </c>
      <c r="D229" s="56">
        <v>0</v>
      </c>
      <c r="E229" s="54" t="s">
        <v>36</v>
      </c>
      <c r="F229" s="56">
        <v>0</v>
      </c>
    </row>
    <row r="230" spans="1:6" ht="35" customHeight="1" x14ac:dyDescent="0.15">
      <c r="A230" s="54" t="s">
        <v>58</v>
      </c>
      <c r="B230" s="56">
        <v>0</v>
      </c>
      <c r="C230" s="54" t="s">
        <v>37</v>
      </c>
      <c r="D230" s="56">
        <v>0</v>
      </c>
      <c r="E230" s="54" t="s">
        <v>22</v>
      </c>
      <c r="F230" s="56">
        <v>0</v>
      </c>
    </row>
    <row r="231" spans="1:6" ht="35" customHeight="1" x14ac:dyDescent="0.15">
      <c r="A231" s="54" t="s">
        <v>23</v>
      </c>
      <c r="B231" s="56">
        <v>0</v>
      </c>
      <c r="C231" s="54" t="s">
        <v>38</v>
      </c>
      <c r="D231" s="56">
        <v>0</v>
      </c>
      <c r="E231" s="54" t="s">
        <v>39</v>
      </c>
      <c r="F231" s="56">
        <v>0</v>
      </c>
    </row>
    <row r="232" spans="1:6" ht="35" customHeight="1" x14ac:dyDescent="0.15">
      <c r="A232" s="54" t="s">
        <v>40</v>
      </c>
      <c r="B232" s="56">
        <v>0</v>
      </c>
      <c r="C232" s="54" t="s">
        <v>41</v>
      </c>
      <c r="D232" s="56">
        <v>0</v>
      </c>
      <c r="E232" s="54"/>
      <c r="F232" s="56">
        <v>0</v>
      </c>
    </row>
    <row r="233" spans="1:6" ht="35" customHeight="1" x14ac:dyDescent="0.15">
      <c r="A233" s="57" t="s">
        <v>128</v>
      </c>
      <c r="B233" s="56">
        <v>0</v>
      </c>
      <c r="C233" s="57" t="s">
        <v>130</v>
      </c>
      <c r="D233" s="56">
        <v>0</v>
      </c>
      <c r="E233" s="57" t="s">
        <v>133</v>
      </c>
      <c r="F233" s="56">
        <v>0</v>
      </c>
    </row>
    <row r="234" spans="1:6" ht="35" customHeight="1" x14ac:dyDescent="0.15">
      <c r="A234" s="57" t="s">
        <v>135</v>
      </c>
      <c r="B234" s="56">
        <v>0</v>
      </c>
      <c r="C234" s="57" t="s">
        <v>138</v>
      </c>
      <c r="D234" s="56">
        <v>0</v>
      </c>
      <c r="E234" s="57" t="s">
        <v>140</v>
      </c>
      <c r="F234" s="56">
        <v>0</v>
      </c>
    </row>
    <row r="235" spans="1:6" ht="35" customHeight="1" x14ac:dyDescent="0.15">
      <c r="A235" s="105" t="s">
        <v>42</v>
      </c>
      <c r="B235" s="106"/>
      <c r="C235" s="106"/>
      <c r="D235" s="106"/>
      <c r="E235" s="106"/>
      <c r="F235" s="56">
        <v>0</v>
      </c>
    </row>
    <row r="236" spans="1:6" ht="35" customHeight="1" x14ac:dyDescent="0.15">
      <c r="A236" s="52" t="s">
        <v>207</v>
      </c>
      <c r="B236" s="103">
        <v>46049</v>
      </c>
      <c r="C236" s="104"/>
      <c r="D236" s="104"/>
      <c r="E236" s="104"/>
      <c r="F236" s="104"/>
    </row>
    <row r="237" spans="1:6" ht="35" customHeight="1" x14ac:dyDescent="0.15">
      <c r="A237" s="54" t="s">
        <v>17</v>
      </c>
      <c r="B237" s="55">
        <v>0</v>
      </c>
      <c r="C237" s="54" t="s">
        <v>49</v>
      </c>
      <c r="D237" s="56">
        <v>0</v>
      </c>
      <c r="E237" s="54" t="s">
        <v>18</v>
      </c>
      <c r="F237" s="56">
        <v>0</v>
      </c>
    </row>
    <row r="238" spans="1:6" ht="35" customHeight="1" x14ac:dyDescent="0.15">
      <c r="A238" s="54" t="s">
        <v>19</v>
      </c>
      <c r="B238" s="56">
        <v>0</v>
      </c>
      <c r="C238" s="54" t="s">
        <v>35</v>
      </c>
      <c r="D238" s="56">
        <v>0</v>
      </c>
      <c r="E238" s="54" t="s">
        <v>36</v>
      </c>
      <c r="F238" s="56">
        <v>0</v>
      </c>
    </row>
    <row r="239" spans="1:6" ht="35" customHeight="1" x14ac:dyDescent="0.15">
      <c r="A239" s="54" t="s">
        <v>58</v>
      </c>
      <c r="B239" s="56">
        <v>0</v>
      </c>
      <c r="C239" s="54" t="s">
        <v>37</v>
      </c>
      <c r="D239" s="56">
        <v>0</v>
      </c>
      <c r="E239" s="54" t="s">
        <v>22</v>
      </c>
      <c r="F239" s="56">
        <v>0</v>
      </c>
    </row>
    <row r="240" spans="1:6" ht="35" customHeight="1" x14ac:dyDescent="0.15">
      <c r="A240" s="54" t="s">
        <v>23</v>
      </c>
      <c r="B240" s="56">
        <v>0</v>
      </c>
      <c r="C240" s="54" t="s">
        <v>38</v>
      </c>
      <c r="D240" s="56">
        <v>0</v>
      </c>
      <c r="E240" s="54" t="s">
        <v>39</v>
      </c>
      <c r="F240" s="56">
        <v>0</v>
      </c>
    </row>
    <row r="241" spans="1:6" ht="35" customHeight="1" x14ac:dyDescent="0.15">
      <c r="A241" s="54" t="s">
        <v>40</v>
      </c>
      <c r="B241" s="56">
        <v>0</v>
      </c>
      <c r="C241" s="54" t="s">
        <v>41</v>
      </c>
      <c r="D241" s="56">
        <v>0</v>
      </c>
      <c r="E241" s="54"/>
      <c r="F241" s="56">
        <v>0</v>
      </c>
    </row>
    <row r="242" spans="1:6" ht="35" customHeight="1" x14ac:dyDescent="0.15">
      <c r="A242" s="57" t="s">
        <v>128</v>
      </c>
      <c r="B242" s="56">
        <v>0</v>
      </c>
      <c r="C242" s="57" t="s">
        <v>130</v>
      </c>
      <c r="D242" s="56">
        <v>0</v>
      </c>
      <c r="E242" s="57" t="s">
        <v>133</v>
      </c>
      <c r="F242" s="56">
        <v>0</v>
      </c>
    </row>
    <row r="243" spans="1:6" ht="35" customHeight="1" x14ac:dyDescent="0.15">
      <c r="A243" s="57" t="s">
        <v>135</v>
      </c>
      <c r="B243" s="56">
        <v>0</v>
      </c>
      <c r="C243" s="57" t="s">
        <v>138</v>
      </c>
      <c r="D243" s="56">
        <v>0</v>
      </c>
      <c r="E243" s="57" t="s">
        <v>140</v>
      </c>
      <c r="F243" s="56">
        <v>0</v>
      </c>
    </row>
    <row r="244" spans="1:6" ht="35" customHeight="1" x14ac:dyDescent="0.15">
      <c r="A244" s="105" t="s">
        <v>42</v>
      </c>
      <c r="B244" s="106"/>
      <c r="C244" s="106"/>
      <c r="D244" s="106"/>
      <c r="E244" s="106"/>
      <c r="F244" s="56">
        <v>0</v>
      </c>
    </row>
    <row r="245" spans="1:6" ht="35" customHeight="1" x14ac:dyDescent="0.15">
      <c r="A245" s="52" t="s">
        <v>207</v>
      </c>
      <c r="B245" s="103">
        <v>46050</v>
      </c>
      <c r="C245" s="104"/>
      <c r="D245" s="104"/>
      <c r="E245" s="104"/>
      <c r="F245" s="104"/>
    </row>
    <row r="246" spans="1:6" ht="35" customHeight="1" x14ac:dyDescent="0.15">
      <c r="A246" s="54" t="s">
        <v>17</v>
      </c>
      <c r="B246" s="55">
        <v>0</v>
      </c>
      <c r="C246" s="54" t="s">
        <v>49</v>
      </c>
      <c r="D246" s="56">
        <v>0</v>
      </c>
      <c r="E246" s="54" t="s">
        <v>18</v>
      </c>
      <c r="F246" s="56">
        <v>0</v>
      </c>
    </row>
    <row r="247" spans="1:6" ht="35" customHeight="1" x14ac:dyDescent="0.15">
      <c r="A247" s="54" t="s">
        <v>19</v>
      </c>
      <c r="B247" s="56">
        <v>0</v>
      </c>
      <c r="C247" s="54" t="s">
        <v>35</v>
      </c>
      <c r="D247" s="56">
        <v>0</v>
      </c>
      <c r="E247" s="54" t="s">
        <v>36</v>
      </c>
      <c r="F247" s="56">
        <v>0</v>
      </c>
    </row>
    <row r="248" spans="1:6" ht="35" customHeight="1" x14ac:dyDescent="0.15">
      <c r="A248" s="54" t="s">
        <v>58</v>
      </c>
      <c r="B248" s="56">
        <v>0</v>
      </c>
      <c r="C248" s="54" t="s">
        <v>37</v>
      </c>
      <c r="D248" s="56">
        <v>0</v>
      </c>
      <c r="E248" s="54" t="s">
        <v>22</v>
      </c>
      <c r="F248" s="56">
        <v>0</v>
      </c>
    </row>
    <row r="249" spans="1:6" ht="35" customHeight="1" x14ac:dyDescent="0.15">
      <c r="A249" s="54" t="s">
        <v>23</v>
      </c>
      <c r="B249" s="56">
        <v>0</v>
      </c>
      <c r="C249" s="54" t="s">
        <v>38</v>
      </c>
      <c r="D249" s="56">
        <v>0</v>
      </c>
      <c r="E249" s="54" t="s">
        <v>39</v>
      </c>
      <c r="F249" s="56">
        <v>0</v>
      </c>
    </row>
    <row r="250" spans="1:6" ht="35" customHeight="1" x14ac:dyDescent="0.15">
      <c r="A250" s="54" t="s">
        <v>40</v>
      </c>
      <c r="B250" s="56">
        <v>0</v>
      </c>
      <c r="C250" s="54" t="s">
        <v>41</v>
      </c>
      <c r="D250" s="56">
        <v>0</v>
      </c>
      <c r="E250" s="54"/>
      <c r="F250" s="56">
        <v>0</v>
      </c>
    </row>
    <row r="251" spans="1:6" ht="35" customHeight="1" x14ac:dyDescent="0.15">
      <c r="A251" s="57" t="s">
        <v>128</v>
      </c>
      <c r="B251" s="56">
        <v>0</v>
      </c>
      <c r="C251" s="57" t="s">
        <v>130</v>
      </c>
      <c r="D251" s="56">
        <v>0</v>
      </c>
      <c r="E251" s="57" t="s">
        <v>133</v>
      </c>
      <c r="F251" s="56">
        <v>0</v>
      </c>
    </row>
    <row r="252" spans="1:6" ht="35" customHeight="1" x14ac:dyDescent="0.15">
      <c r="A252" s="57" t="s">
        <v>135</v>
      </c>
      <c r="B252" s="56">
        <v>0</v>
      </c>
      <c r="C252" s="57" t="s">
        <v>138</v>
      </c>
      <c r="D252" s="56">
        <v>0</v>
      </c>
      <c r="E252" s="57" t="s">
        <v>140</v>
      </c>
      <c r="F252" s="56">
        <v>0</v>
      </c>
    </row>
    <row r="253" spans="1:6" ht="35" customHeight="1" x14ac:dyDescent="0.15">
      <c r="A253" s="105" t="s">
        <v>42</v>
      </c>
      <c r="B253" s="106"/>
      <c r="C253" s="106"/>
      <c r="D253" s="106"/>
      <c r="E253" s="106"/>
      <c r="F253" s="56">
        <v>0</v>
      </c>
    </row>
    <row r="254" spans="1:6" ht="35" customHeight="1" x14ac:dyDescent="0.15">
      <c r="A254" s="52" t="s">
        <v>207</v>
      </c>
      <c r="B254" s="103">
        <v>46051</v>
      </c>
      <c r="C254" s="104"/>
      <c r="D254" s="104"/>
      <c r="E254" s="104"/>
      <c r="F254" s="104"/>
    </row>
    <row r="255" spans="1:6" ht="35" customHeight="1" x14ac:dyDescent="0.15">
      <c r="A255" s="54" t="s">
        <v>17</v>
      </c>
      <c r="B255" s="55">
        <v>0</v>
      </c>
      <c r="C255" s="54" t="s">
        <v>49</v>
      </c>
      <c r="D255" s="56">
        <v>0</v>
      </c>
      <c r="E255" s="54" t="s">
        <v>18</v>
      </c>
      <c r="F255" s="56">
        <v>0</v>
      </c>
    </row>
    <row r="256" spans="1:6" ht="35" customHeight="1" x14ac:dyDescent="0.15">
      <c r="A256" s="54" t="s">
        <v>19</v>
      </c>
      <c r="B256" s="56">
        <v>0</v>
      </c>
      <c r="C256" s="54" t="s">
        <v>35</v>
      </c>
      <c r="D256" s="56">
        <v>0</v>
      </c>
      <c r="E256" s="54" t="s">
        <v>36</v>
      </c>
      <c r="F256" s="56">
        <v>0</v>
      </c>
    </row>
    <row r="257" spans="1:6" ht="35" customHeight="1" x14ac:dyDescent="0.15">
      <c r="A257" s="54" t="s">
        <v>58</v>
      </c>
      <c r="B257" s="56">
        <v>0</v>
      </c>
      <c r="C257" s="54" t="s">
        <v>37</v>
      </c>
      <c r="D257" s="56">
        <v>0</v>
      </c>
      <c r="E257" s="54" t="s">
        <v>22</v>
      </c>
      <c r="F257" s="56">
        <v>0</v>
      </c>
    </row>
    <row r="258" spans="1:6" ht="35" customHeight="1" x14ac:dyDescent="0.15">
      <c r="A258" s="54" t="s">
        <v>23</v>
      </c>
      <c r="B258" s="56">
        <v>0</v>
      </c>
      <c r="C258" s="54" t="s">
        <v>38</v>
      </c>
      <c r="D258" s="56">
        <v>0</v>
      </c>
      <c r="E258" s="54" t="s">
        <v>39</v>
      </c>
      <c r="F258" s="56">
        <v>0</v>
      </c>
    </row>
    <row r="259" spans="1:6" ht="35" customHeight="1" x14ac:dyDescent="0.15">
      <c r="A259" s="54" t="s">
        <v>40</v>
      </c>
      <c r="B259" s="56">
        <v>0</v>
      </c>
      <c r="C259" s="54" t="s">
        <v>41</v>
      </c>
      <c r="D259" s="56">
        <v>0</v>
      </c>
      <c r="E259" s="54"/>
      <c r="F259" s="56">
        <v>0</v>
      </c>
    </row>
    <row r="260" spans="1:6" ht="35" customHeight="1" x14ac:dyDescent="0.15">
      <c r="A260" s="57" t="s">
        <v>128</v>
      </c>
      <c r="B260" s="56">
        <v>0</v>
      </c>
      <c r="C260" s="57" t="s">
        <v>130</v>
      </c>
      <c r="D260" s="56">
        <v>0</v>
      </c>
      <c r="E260" s="57" t="s">
        <v>133</v>
      </c>
      <c r="F260" s="56">
        <v>0</v>
      </c>
    </row>
    <row r="261" spans="1:6" ht="35" customHeight="1" x14ac:dyDescent="0.15">
      <c r="A261" s="57" t="s">
        <v>135</v>
      </c>
      <c r="B261" s="56">
        <v>0</v>
      </c>
      <c r="C261" s="57" t="s">
        <v>138</v>
      </c>
      <c r="D261" s="56">
        <v>0</v>
      </c>
      <c r="E261" s="57" t="s">
        <v>140</v>
      </c>
      <c r="F261" s="56">
        <v>0</v>
      </c>
    </row>
    <row r="262" spans="1:6" ht="35" customHeight="1" x14ac:dyDescent="0.15">
      <c r="A262" s="105" t="s">
        <v>42</v>
      </c>
      <c r="B262" s="106"/>
      <c r="C262" s="106"/>
      <c r="D262" s="106"/>
      <c r="E262" s="106"/>
      <c r="F262" s="56">
        <v>0</v>
      </c>
    </row>
    <row r="263" spans="1:6" ht="35" customHeight="1" x14ac:dyDescent="0.15">
      <c r="A263" s="52" t="s">
        <v>207</v>
      </c>
      <c r="B263" s="103">
        <v>46052</v>
      </c>
      <c r="C263" s="104"/>
      <c r="D263" s="104"/>
      <c r="E263" s="104"/>
      <c r="F263" s="104"/>
    </row>
    <row r="264" spans="1:6" ht="35" customHeight="1" x14ac:dyDescent="0.15">
      <c r="A264" s="54" t="s">
        <v>17</v>
      </c>
      <c r="B264" s="55">
        <v>0</v>
      </c>
      <c r="C264" s="54" t="s">
        <v>49</v>
      </c>
      <c r="D264" s="56">
        <v>0</v>
      </c>
      <c r="E264" s="54" t="s">
        <v>18</v>
      </c>
      <c r="F264" s="56">
        <v>0</v>
      </c>
    </row>
    <row r="265" spans="1:6" ht="35" customHeight="1" x14ac:dyDescent="0.15">
      <c r="A265" s="54" t="s">
        <v>19</v>
      </c>
      <c r="B265" s="56">
        <v>0</v>
      </c>
      <c r="C265" s="54" t="s">
        <v>35</v>
      </c>
      <c r="D265" s="56">
        <v>0</v>
      </c>
      <c r="E265" s="54" t="s">
        <v>36</v>
      </c>
      <c r="F265" s="56">
        <v>0</v>
      </c>
    </row>
    <row r="266" spans="1:6" ht="35" customHeight="1" x14ac:dyDescent="0.15">
      <c r="A266" s="54" t="s">
        <v>58</v>
      </c>
      <c r="B266" s="56">
        <v>0</v>
      </c>
      <c r="C266" s="54" t="s">
        <v>37</v>
      </c>
      <c r="D266" s="56">
        <v>0</v>
      </c>
      <c r="E266" s="54" t="s">
        <v>22</v>
      </c>
      <c r="F266" s="56">
        <v>0</v>
      </c>
    </row>
    <row r="267" spans="1:6" ht="35" customHeight="1" x14ac:dyDescent="0.15">
      <c r="A267" s="54" t="s">
        <v>23</v>
      </c>
      <c r="B267" s="56">
        <v>0</v>
      </c>
      <c r="C267" s="54" t="s">
        <v>38</v>
      </c>
      <c r="D267" s="56">
        <v>0</v>
      </c>
      <c r="E267" s="54" t="s">
        <v>39</v>
      </c>
      <c r="F267" s="56">
        <v>0</v>
      </c>
    </row>
    <row r="268" spans="1:6" ht="35" customHeight="1" x14ac:dyDescent="0.15">
      <c r="A268" s="54" t="s">
        <v>40</v>
      </c>
      <c r="B268" s="56">
        <v>0</v>
      </c>
      <c r="C268" s="54" t="s">
        <v>41</v>
      </c>
      <c r="D268" s="56">
        <v>0</v>
      </c>
      <c r="E268" s="54"/>
      <c r="F268" s="56">
        <v>0</v>
      </c>
    </row>
    <row r="269" spans="1:6" ht="35" customHeight="1" x14ac:dyDescent="0.15">
      <c r="A269" s="57" t="s">
        <v>128</v>
      </c>
      <c r="B269" s="56">
        <v>0</v>
      </c>
      <c r="C269" s="57" t="s">
        <v>130</v>
      </c>
      <c r="D269" s="56">
        <v>0</v>
      </c>
      <c r="E269" s="57" t="s">
        <v>133</v>
      </c>
      <c r="F269" s="56">
        <v>0</v>
      </c>
    </row>
    <row r="270" spans="1:6" ht="35" customHeight="1" x14ac:dyDescent="0.15">
      <c r="A270" s="57" t="s">
        <v>135</v>
      </c>
      <c r="B270" s="56">
        <v>0</v>
      </c>
      <c r="C270" s="57" t="s">
        <v>138</v>
      </c>
      <c r="D270" s="56">
        <v>0</v>
      </c>
      <c r="E270" s="57" t="s">
        <v>140</v>
      </c>
      <c r="F270" s="56">
        <v>0</v>
      </c>
    </row>
    <row r="271" spans="1:6" ht="35" customHeight="1" x14ac:dyDescent="0.15">
      <c r="A271" s="105" t="s">
        <v>42</v>
      </c>
      <c r="B271" s="106"/>
      <c r="C271" s="106"/>
      <c r="D271" s="106"/>
      <c r="E271" s="106"/>
      <c r="F271" s="56">
        <v>0</v>
      </c>
    </row>
    <row r="272" spans="1:6" ht="35" customHeight="1" x14ac:dyDescent="0.15">
      <c r="A272" s="52" t="s">
        <v>207</v>
      </c>
      <c r="B272" s="103">
        <v>46053</v>
      </c>
      <c r="C272" s="104"/>
      <c r="D272" s="104"/>
      <c r="E272" s="104"/>
      <c r="F272" s="104"/>
    </row>
    <row r="273" spans="1:6" ht="35" customHeight="1" x14ac:dyDescent="0.15">
      <c r="A273" s="54" t="s">
        <v>17</v>
      </c>
      <c r="B273" s="55">
        <v>0</v>
      </c>
      <c r="C273" s="54" t="s">
        <v>49</v>
      </c>
      <c r="D273" s="56">
        <v>0</v>
      </c>
      <c r="E273" s="54" t="s">
        <v>18</v>
      </c>
      <c r="F273" s="56">
        <v>0</v>
      </c>
    </row>
    <row r="274" spans="1:6" ht="35" customHeight="1" x14ac:dyDescent="0.15">
      <c r="A274" s="54" t="s">
        <v>19</v>
      </c>
      <c r="B274" s="56">
        <v>0</v>
      </c>
      <c r="C274" s="54" t="s">
        <v>35</v>
      </c>
      <c r="D274" s="56">
        <v>0</v>
      </c>
      <c r="E274" s="54" t="s">
        <v>36</v>
      </c>
      <c r="F274" s="56">
        <v>0</v>
      </c>
    </row>
    <row r="275" spans="1:6" ht="35" customHeight="1" x14ac:dyDescent="0.15">
      <c r="A275" s="54" t="s">
        <v>58</v>
      </c>
      <c r="B275" s="56">
        <v>0</v>
      </c>
      <c r="C275" s="54" t="s">
        <v>37</v>
      </c>
      <c r="D275" s="56">
        <v>0</v>
      </c>
      <c r="E275" s="54" t="s">
        <v>22</v>
      </c>
      <c r="F275" s="56">
        <v>0</v>
      </c>
    </row>
    <row r="276" spans="1:6" ht="35" customHeight="1" x14ac:dyDescent="0.15">
      <c r="A276" s="54" t="s">
        <v>23</v>
      </c>
      <c r="B276" s="56">
        <v>0</v>
      </c>
      <c r="C276" s="54" t="s">
        <v>38</v>
      </c>
      <c r="D276" s="56">
        <v>0</v>
      </c>
      <c r="E276" s="54" t="s">
        <v>39</v>
      </c>
      <c r="F276" s="56">
        <v>0</v>
      </c>
    </row>
    <row r="277" spans="1:6" ht="35" customHeight="1" x14ac:dyDescent="0.15">
      <c r="A277" s="54" t="s">
        <v>40</v>
      </c>
      <c r="B277" s="56">
        <v>0</v>
      </c>
      <c r="C277" s="54" t="s">
        <v>41</v>
      </c>
      <c r="D277" s="56">
        <v>0</v>
      </c>
      <c r="E277" s="54"/>
      <c r="F277" s="56">
        <v>0</v>
      </c>
    </row>
    <row r="278" spans="1:6" ht="35" customHeight="1" x14ac:dyDescent="0.15">
      <c r="A278" s="57" t="s">
        <v>128</v>
      </c>
      <c r="B278" s="56">
        <v>0</v>
      </c>
      <c r="C278" s="57" t="s">
        <v>130</v>
      </c>
      <c r="D278" s="56">
        <v>0</v>
      </c>
      <c r="E278" s="57" t="s">
        <v>133</v>
      </c>
      <c r="F278" s="56">
        <v>0</v>
      </c>
    </row>
    <row r="279" spans="1:6" ht="35" customHeight="1" x14ac:dyDescent="0.15">
      <c r="A279" s="57" t="s">
        <v>135</v>
      </c>
      <c r="B279" s="56">
        <v>0</v>
      </c>
      <c r="C279" s="57" t="s">
        <v>138</v>
      </c>
      <c r="D279" s="56">
        <v>0</v>
      </c>
      <c r="E279" s="57" t="s">
        <v>140</v>
      </c>
      <c r="F279" s="56">
        <v>0</v>
      </c>
    </row>
    <row r="280" spans="1:6" ht="35" customHeight="1" x14ac:dyDescent="0.15">
      <c r="A280" s="105" t="s">
        <v>42</v>
      </c>
      <c r="B280" s="106"/>
      <c r="C280" s="106"/>
      <c r="D280" s="106"/>
      <c r="E280" s="106"/>
      <c r="F280" s="56">
        <v>0</v>
      </c>
    </row>
  </sheetData>
  <mergeCells count="63">
    <mergeCell ref="B272:F272"/>
    <mergeCell ref="A280:E280"/>
    <mergeCell ref="A10:E10"/>
    <mergeCell ref="B2:F2"/>
    <mergeCell ref="B56:F56"/>
    <mergeCell ref="A64:E64"/>
    <mergeCell ref="B65:F65"/>
    <mergeCell ref="A28:E28"/>
    <mergeCell ref="B29:F29"/>
    <mergeCell ref="A37:E37"/>
    <mergeCell ref="B38:F38"/>
    <mergeCell ref="A46:E46"/>
    <mergeCell ref="B11:F11"/>
    <mergeCell ref="A19:E19"/>
    <mergeCell ref="B20:F20"/>
    <mergeCell ref="B47:F47"/>
    <mergeCell ref="A55:E55"/>
    <mergeCell ref="B110:F110"/>
    <mergeCell ref="A118:E118"/>
    <mergeCell ref="B92:F92"/>
    <mergeCell ref="A100:E100"/>
    <mergeCell ref="B101:F101"/>
    <mergeCell ref="A109:E109"/>
    <mergeCell ref="A73:E73"/>
    <mergeCell ref="B74:F74"/>
    <mergeCell ref="A82:E82"/>
    <mergeCell ref="B83:F83"/>
    <mergeCell ref="A91:E91"/>
    <mergeCell ref="B119:F119"/>
    <mergeCell ref="A127:E127"/>
    <mergeCell ref="B128:F128"/>
    <mergeCell ref="A136:E136"/>
    <mergeCell ref="B137:F137"/>
    <mergeCell ref="A145:E145"/>
    <mergeCell ref="B146:F146"/>
    <mergeCell ref="A154:E154"/>
    <mergeCell ref="B155:F155"/>
    <mergeCell ref="A163:E163"/>
    <mergeCell ref="B191:F191"/>
    <mergeCell ref="A199:E199"/>
    <mergeCell ref="B200:F200"/>
    <mergeCell ref="A208:E208"/>
    <mergeCell ref="B164:F164"/>
    <mergeCell ref="A172:E172"/>
    <mergeCell ref="B173:F173"/>
    <mergeCell ref="A181:E181"/>
    <mergeCell ref="B182:F182"/>
    <mergeCell ref="E1:F1"/>
    <mergeCell ref="B254:F254"/>
    <mergeCell ref="A262:E262"/>
    <mergeCell ref="B263:F263"/>
    <mergeCell ref="A271:E271"/>
    <mergeCell ref="A235:E235"/>
    <mergeCell ref="B236:F236"/>
    <mergeCell ref="A244:E244"/>
    <mergeCell ref="B245:F245"/>
    <mergeCell ref="A253:E253"/>
    <mergeCell ref="B209:F209"/>
    <mergeCell ref="A217:E217"/>
    <mergeCell ref="B218:F218"/>
    <mergeCell ref="A226:E226"/>
    <mergeCell ref="B227:F227"/>
    <mergeCell ref="A190:E190"/>
  </mergeCells>
  <dataValidations count="1">
    <dataValidation type="list" allowBlank="1" showInputMessage="1" showErrorMessage="1" sqref="B1" xr:uid="{B58B3E21-B0E3-4609-BAB7-DD406D796319}">
      <formula1>"January, February, March, April, May, June, July, August, November, October, November, December"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DB787-A4B7-4ED0-A333-004C99160A7B}">
  <sheetPr codeName="Sheet73"/>
  <dimension ref="A1:H37"/>
  <sheetViews>
    <sheetView workbookViewId="0">
      <pane ySplit="1" topLeftCell="A2" activePane="bottomLeft" state="frozen"/>
      <selection pane="bottomLeft" activeCell="B2" sqref="B2:F2"/>
    </sheetView>
  </sheetViews>
  <sheetFormatPr baseColWidth="10" defaultColWidth="19.83203125" defaultRowHeight="35" customHeight="1" x14ac:dyDescent="0.15"/>
  <cols>
    <col min="1" max="1" width="26.1640625" style="11" bestFit="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32.1640625" style="11" bestFit="1" customWidth="1"/>
    <col min="9" max="16384" width="19.83203125" style="11"/>
  </cols>
  <sheetData>
    <row r="1" spans="1:8" ht="50" customHeight="1" x14ac:dyDescent="0.15">
      <c r="A1" s="59" t="s">
        <v>187</v>
      </c>
      <c r="B1" s="81" t="s">
        <v>94</v>
      </c>
      <c r="C1" s="59" t="s">
        <v>92</v>
      </c>
      <c r="D1" s="82">
        <v>2026</v>
      </c>
      <c r="E1" s="102"/>
      <c r="F1" s="102"/>
    </row>
    <row r="2" spans="1:8" ht="35" customHeight="1" x14ac:dyDescent="0.15">
      <c r="A2" s="58" t="s">
        <v>207</v>
      </c>
      <c r="B2" s="103">
        <v>46029</v>
      </c>
      <c r="C2" s="104"/>
      <c r="D2" s="104"/>
      <c r="E2" s="104"/>
      <c r="F2" s="104"/>
      <c r="G2" s="62"/>
      <c r="H2" s="63" t="s">
        <v>32</v>
      </c>
    </row>
    <row r="3" spans="1:8" ht="35" customHeight="1" x14ac:dyDescent="0.15">
      <c r="A3" s="54" t="s">
        <v>17</v>
      </c>
      <c r="B3" s="55">
        <v>0</v>
      </c>
      <c r="C3" s="54" t="s">
        <v>49</v>
      </c>
      <c r="D3" s="56">
        <v>0</v>
      </c>
      <c r="E3" s="54" t="s">
        <v>18</v>
      </c>
      <c r="F3" s="56">
        <v>0</v>
      </c>
      <c r="H3" s="10" t="s">
        <v>169</v>
      </c>
    </row>
    <row r="4" spans="1:8" ht="35" customHeight="1" x14ac:dyDescent="0.15">
      <c r="A4" s="54" t="s">
        <v>19</v>
      </c>
      <c r="B4" s="56">
        <v>0</v>
      </c>
      <c r="C4" s="54" t="s">
        <v>35</v>
      </c>
      <c r="D4" s="56">
        <v>0</v>
      </c>
      <c r="E4" s="54" t="s">
        <v>36</v>
      </c>
      <c r="F4" s="56">
        <v>0</v>
      </c>
    </row>
    <row r="5" spans="1:8" ht="35" customHeight="1" x14ac:dyDescent="0.15">
      <c r="A5" s="54" t="s">
        <v>58</v>
      </c>
      <c r="B5" s="56">
        <v>0</v>
      </c>
      <c r="C5" s="54" t="s">
        <v>37</v>
      </c>
      <c r="D5" s="56">
        <v>0</v>
      </c>
      <c r="E5" s="54" t="s">
        <v>22</v>
      </c>
      <c r="F5" s="56">
        <v>0</v>
      </c>
    </row>
    <row r="6" spans="1:8" ht="35" customHeight="1" x14ac:dyDescent="0.15">
      <c r="A6" s="54" t="s">
        <v>23</v>
      </c>
      <c r="B6" s="56">
        <v>0</v>
      </c>
      <c r="C6" s="54" t="s">
        <v>38</v>
      </c>
      <c r="D6" s="56">
        <v>0</v>
      </c>
      <c r="E6" s="54" t="s">
        <v>39</v>
      </c>
      <c r="F6" s="56">
        <v>0</v>
      </c>
    </row>
    <row r="7" spans="1:8" ht="35" customHeight="1" x14ac:dyDescent="0.15">
      <c r="A7" s="54" t="s">
        <v>40</v>
      </c>
      <c r="B7" s="56">
        <v>0</v>
      </c>
      <c r="C7" s="54" t="s">
        <v>41</v>
      </c>
      <c r="D7" s="56">
        <v>0</v>
      </c>
      <c r="E7" s="54"/>
      <c r="F7" s="56">
        <v>0</v>
      </c>
    </row>
    <row r="8" spans="1:8" ht="35" customHeight="1" x14ac:dyDescent="0.15">
      <c r="A8" s="57" t="s">
        <v>128</v>
      </c>
      <c r="B8" s="56">
        <v>0</v>
      </c>
      <c r="C8" s="57" t="s">
        <v>130</v>
      </c>
      <c r="D8" s="56">
        <v>0</v>
      </c>
      <c r="E8" s="57" t="s">
        <v>133</v>
      </c>
      <c r="F8" s="56">
        <v>0</v>
      </c>
    </row>
    <row r="9" spans="1:8" ht="35" customHeight="1" x14ac:dyDescent="0.15">
      <c r="A9" s="57" t="s">
        <v>135</v>
      </c>
      <c r="B9" s="56">
        <v>0</v>
      </c>
      <c r="C9" s="57" t="s">
        <v>138</v>
      </c>
      <c r="D9" s="56">
        <v>0</v>
      </c>
      <c r="E9" s="57" t="s">
        <v>140</v>
      </c>
      <c r="F9" s="56">
        <v>0</v>
      </c>
    </row>
    <row r="10" spans="1:8" ht="35" customHeight="1" x14ac:dyDescent="0.15">
      <c r="A10" s="105" t="s">
        <v>42</v>
      </c>
      <c r="B10" s="106"/>
      <c r="C10" s="106"/>
      <c r="D10" s="106"/>
      <c r="E10" s="106"/>
      <c r="F10" s="56">
        <v>0</v>
      </c>
    </row>
    <row r="11" spans="1:8" ht="35" customHeight="1" x14ac:dyDescent="0.15">
      <c r="A11" s="58" t="s">
        <v>207</v>
      </c>
      <c r="B11" s="103">
        <v>46036</v>
      </c>
      <c r="C11" s="104"/>
      <c r="D11" s="104"/>
      <c r="E11" s="104"/>
      <c r="F11" s="104"/>
    </row>
    <row r="12" spans="1:8" ht="35" customHeight="1" x14ac:dyDescent="0.15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</row>
    <row r="13" spans="1:8" ht="35" customHeight="1" x14ac:dyDescent="0.15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</row>
    <row r="14" spans="1:8" ht="35" customHeight="1" x14ac:dyDescent="0.15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15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15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6" ht="35" customHeight="1" x14ac:dyDescent="0.15">
      <c r="A17" s="57" t="s">
        <v>128</v>
      </c>
      <c r="B17" s="56">
        <v>0</v>
      </c>
      <c r="C17" s="57" t="s">
        <v>130</v>
      </c>
      <c r="D17" s="56">
        <v>0</v>
      </c>
      <c r="E17" s="57" t="s">
        <v>133</v>
      </c>
      <c r="F17" s="56">
        <v>0</v>
      </c>
    </row>
    <row r="18" spans="1:6" ht="35" customHeight="1" x14ac:dyDescent="0.15">
      <c r="A18" s="57" t="s">
        <v>135</v>
      </c>
      <c r="B18" s="56">
        <v>0</v>
      </c>
      <c r="C18" s="57" t="s">
        <v>138</v>
      </c>
      <c r="D18" s="56">
        <v>0</v>
      </c>
      <c r="E18" s="57" t="s">
        <v>140</v>
      </c>
      <c r="F18" s="56">
        <v>0</v>
      </c>
    </row>
    <row r="19" spans="1:6" ht="35" customHeight="1" x14ac:dyDescent="0.15">
      <c r="A19" s="105" t="s">
        <v>42</v>
      </c>
      <c r="B19" s="106"/>
      <c r="C19" s="106"/>
      <c r="D19" s="106"/>
      <c r="E19" s="106"/>
      <c r="F19" s="56">
        <v>0</v>
      </c>
    </row>
    <row r="20" spans="1:6" ht="35" customHeight="1" x14ac:dyDescent="0.15">
      <c r="A20" s="58" t="s">
        <v>207</v>
      </c>
      <c r="B20" s="103">
        <v>46043</v>
      </c>
      <c r="C20" s="104"/>
      <c r="D20" s="104"/>
      <c r="E20" s="104"/>
      <c r="F20" s="104"/>
    </row>
    <row r="21" spans="1:6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6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6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6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6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6" ht="35" customHeight="1" x14ac:dyDescent="0.15">
      <c r="A26" s="57" t="s">
        <v>128</v>
      </c>
      <c r="B26" s="56">
        <v>0</v>
      </c>
      <c r="C26" s="57" t="s">
        <v>130</v>
      </c>
      <c r="D26" s="56">
        <v>0</v>
      </c>
      <c r="E26" s="57" t="s">
        <v>133</v>
      </c>
      <c r="F26" s="56">
        <v>0</v>
      </c>
    </row>
    <row r="27" spans="1:6" ht="35" customHeight="1" x14ac:dyDescent="0.15">
      <c r="A27" s="57" t="s">
        <v>135</v>
      </c>
      <c r="B27" s="56">
        <v>0</v>
      </c>
      <c r="C27" s="57" t="s">
        <v>138</v>
      </c>
      <c r="D27" s="56">
        <v>0</v>
      </c>
      <c r="E27" s="57" t="s">
        <v>140</v>
      </c>
      <c r="F27" s="56">
        <v>0</v>
      </c>
    </row>
    <row r="28" spans="1:6" ht="35" customHeight="1" x14ac:dyDescent="0.15">
      <c r="A28" s="105" t="s">
        <v>42</v>
      </c>
      <c r="B28" s="106"/>
      <c r="C28" s="106"/>
      <c r="D28" s="106"/>
      <c r="E28" s="106"/>
      <c r="F28" s="56">
        <v>0</v>
      </c>
    </row>
    <row r="29" spans="1:6" ht="35" customHeight="1" x14ac:dyDescent="0.15">
      <c r="A29" s="58" t="s">
        <v>207</v>
      </c>
      <c r="B29" s="103">
        <v>46050</v>
      </c>
      <c r="C29" s="104"/>
      <c r="D29" s="104"/>
      <c r="E29" s="104"/>
      <c r="F29" s="104"/>
    </row>
    <row r="30" spans="1:6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6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6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6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6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6" ht="35" customHeight="1" x14ac:dyDescent="0.15">
      <c r="A35" s="57" t="s">
        <v>128</v>
      </c>
      <c r="B35" s="56">
        <v>0</v>
      </c>
      <c r="C35" s="57" t="s">
        <v>130</v>
      </c>
      <c r="D35" s="56">
        <v>0</v>
      </c>
      <c r="E35" s="57" t="s">
        <v>133</v>
      </c>
      <c r="F35" s="56">
        <v>0</v>
      </c>
    </row>
    <row r="36" spans="1:6" ht="35" customHeight="1" x14ac:dyDescent="0.15">
      <c r="A36" s="57" t="s">
        <v>135</v>
      </c>
      <c r="B36" s="56">
        <v>0</v>
      </c>
      <c r="C36" s="57" t="s">
        <v>138</v>
      </c>
      <c r="D36" s="56">
        <v>0</v>
      </c>
      <c r="E36" s="57" t="s">
        <v>140</v>
      </c>
      <c r="F36" s="56">
        <v>0</v>
      </c>
    </row>
    <row r="37" spans="1:6" ht="35" customHeight="1" x14ac:dyDescent="0.15">
      <c r="A37" s="105" t="s">
        <v>42</v>
      </c>
      <c r="B37" s="106"/>
      <c r="C37" s="106"/>
      <c r="D37" s="106"/>
      <c r="E37" s="106"/>
      <c r="F37" s="56">
        <v>0</v>
      </c>
    </row>
  </sheetData>
  <mergeCells count="9">
    <mergeCell ref="E1:F1"/>
    <mergeCell ref="A28:E28"/>
    <mergeCell ref="B29:F29"/>
    <mergeCell ref="A37:E37"/>
    <mergeCell ref="B11:F11"/>
    <mergeCell ref="A19:E19"/>
    <mergeCell ref="B20:F20"/>
    <mergeCell ref="B2:F2"/>
    <mergeCell ref="A10:E10"/>
  </mergeCells>
  <dataValidations count="1">
    <dataValidation type="list" allowBlank="1" showInputMessage="1" showErrorMessage="1" sqref="B1" xr:uid="{D1A7F2A5-E941-4CD9-9C56-C52724DB51D5}">
      <formula1>"January, February, March, April, May, June, July, August, September, October, November, December"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51BED-58A5-4BB7-B027-3FBE24389A1E}">
  <sheetPr codeName="Sheet74"/>
  <dimension ref="A1:H109"/>
  <sheetViews>
    <sheetView topLeftCell="A2" zoomScaleNormal="100" workbookViewId="0">
      <selection activeCell="H21" sqref="H21"/>
    </sheetView>
  </sheetViews>
  <sheetFormatPr baseColWidth="10" defaultColWidth="19.83203125" defaultRowHeight="35" customHeight="1" x14ac:dyDescent="0.15"/>
  <cols>
    <col min="1" max="1" width="25.6640625" style="1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32.1640625" style="11" bestFit="1" customWidth="1"/>
    <col min="9" max="16384" width="19.83203125" style="11"/>
  </cols>
  <sheetData>
    <row r="1" spans="1:8" ht="50" customHeight="1" x14ac:dyDescent="0.15">
      <c r="A1" s="59" t="s">
        <v>92</v>
      </c>
      <c r="B1" s="107">
        <v>2026</v>
      </c>
      <c r="C1" s="108"/>
      <c r="D1" s="109"/>
      <c r="E1" s="102"/>
      <c r="F1" s="102"/>
    </row>
    <row r="2" spans="1:8" ht="35" customHeight="1" x14ac:dyDescent="0.15">
      <c r="A2" s="58" t="s">
        <v>207</v>
      </c>
      <c r="B2" s="103">
        <v>46023</v>
      </c>
      <c r="C2" s="104"/>
      <c r="D2" s="104"/>
      <c r="E2" s="104"/>
      <c r="F2" s="104"/>
      <c r="G2" s="62"/>
      <c r="H2" s="63" t="s">
        <v>32</v>
      </c>
    </row>
    <row r="3" spans="1:8" ht="35" customHeight="1" x14ac:dyDescent="0.15">
      <c r="A3" s="54" t="s">
        <v>17</v>
      </c>
      <c r="B3" s="55">
        <v>0</v>
      </c>
      <c r="C3" s="54" t="s">
        <v>49</v>
      </c>
      <c r="D3" s="56">
        <v>0</v>
      </c>
      <c r="E3" s="54" t="s">
        <v>18</v>
      </c>
      <c r="F3" s="56">
        <v>0</v>
      </c>
      <c r="H3" s="10" t="s">
        <v>181</v>
      </c>
    </row>
    <row r="4" spans="1:8" ht="35" customHeight="1" x14ac:dyDescent="0.15">
      <c r="A4" s="54" t="s">
        <v>19</v>
      </c>
      <c r="B4" s="56">
        <v>0</v>
      </c>
      <c r="C4" s="54" t="s">
        <v>35</v>
      </c>
      <c r="D4" s="56">
        <v>0</v>
      </c>
      <c r="E4" s="54" t="s">
        <v>36</v>
      </c>
      <c r="F4" s="56">
        <v>0</v>
      </c>
      <c r="H4" s="80" t="s">
        <v>170</v>
      </c>
    </row>
    <row r="5" spans="1:8" ht="35" customHeight="1" x14ac:dyDescent="0.15">
      <c r="A5" s="54" t="s">
        <v>58</v>
      </c>
      <c r="B5" s="56">
        <v>0</v>
      </c>
      <c r="C5" s="54" t="s">
        <v>37</v>
      </c>
      <c r="D5" s="56">
        <v>0</v>
      </c>
      <c r="E5" s="54" t="s">
        <v>22</v>
      </c>
      <c r="F5" s="56">
        <v>0</v>
      </c>
      <c r="H5" s="80" t="s">
        <v>171</v>
      </c>
    </row>
    <row r="6" spans="1:8" ht="35" customHeight="1" x14ac:dyDescent="0.15">
      <c r="A6" s="54" t="s">
        <v>23</v>
      </c>
      <c r="B6" s="56">
        <v>0</v>
      </c>
      <c r="C6" s="54" t="s">
        <v>38</v>
      </c>
      <c r="D6" s="56">
        <v>0</v>
      </c>
      <c r="E6" s="54" t="s">
        <v>39</v>
      </c>
      <c r="F6" s="56">
        <v>0</v>
      </c>
      <c r="H6" s="80" t="s">
        <v>172</v>
      </c>
    </row>
    <row r="7" spans="1:8" ht="35" customHeight="1" x14ac:dyDescent="0.15">
      <c r="A7" s="54" t="s">
        <v>40</v>
      </c>
      <c r="B7" s="56">
        <v>0</v>
      </c>
      <c r="C7" s="54" t="s">
        <v>41</v>
      </c>
      <c r="D7" s="56">
        <v>0</v>
      </c>
      <c r="E7" s="54"/>
      <c r="F7" s="56">
        <v>0</v>
      </c>
      <c r="H7" s="80" t="s">
        <v>173</v>
      </c>
    </row>
    <row r="8" spans="1:8" ht="35" customHeight="1" x14ac:dyDescent="0.15">
      <c r="A8" s="57" t="s">
        <v>128</v>
      </c>
      <c r="B8" s="56">
        <v>0</v>
      </c>
      <c r="C8" s="57" t="s">
        <v>130</v>
      </c>
      <c r="D8" s="56">
        <v>0</v>
      </c>
      <c r="E8" s="57" t="s">
        <v>133</v>
      </c>
      <c r="F8" s="56">
        <v>0</v>
      </c>
      <c r="H8" s="80" t="s">
        <v>174</v>
      </c>
    </row>
    <row r="9" spans="1:8" ht="35" customHeight="1" x14ac:dyDescent="0.15">
      <c r="A9" s="57" t="s">
        <v>135</v>
      </c>
      <c r="B9" s="56">
        <v>0</v>
      </c>
      <c r="C9" s="57" t="s">
        <v>138</v>
      </c>
      <c r="D9" s="56">
        <v>0</v>
      </c>
      <c r="E9" s="57" t="s">
        <v>140</v>
      </c>
      <c r="F9" s="56">
        <v>0</v>
      </c>
      <c r="H9" s="80" t="s">
        <v>175</v>
      </c>
    </row>
    <row r="10" spans="1:8" ht="35" customHeight="1" x14ac:dyDescent="0.15">
      <c r="A10" s="105" t="s">
        <v>42</v>
      </c>
      <c r="B10" s="106"/>
      <c r="C10" s="106"/>
      <c r="D10" s="106"/>
      <c r="E10" s="106"/>
      <c r="F10" s="56">
        <v>0</v>
      </c>
      <c r="H10" s="80" t="s">
        <v>176</v>
      </c>
    </row>
    <row r="11" spans="1:8" ht="35" customHeight="1" x14ac:dyDescent="0.15">
      <c r="A11" s="58" t="s">
        <v>207</v>
      </c>
      <c r="B11" s="103">
        <v>46054</v>
      </c>
      <c r="C11" s="104"/>
      <c r="D11" s="104"/>
      <c r="E11" s="104"/>
      <c r="F11" s="104"/>
      <c r="H11" s="80" t="s">
        <v>178</v>
      </c>
    </row>
    <row r="12" spans="1:8" ht="35" customHeight="1" x14ac:dyDescent="0.15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  <c r="H12" s="80" t="s">
        <v>177</v>
      </c>
    </row>
    <row r="13" spans="1:8" ht="35" customHeight="1" x14ac:dyDescent="0.15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  <c r="H13" s="80" t="s">
        <v>179</v>
      </c>
    </row>
    <row r="14" spans="1:8" ht="35" customHeight="1" x14ac:dyDescent="0.15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15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15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6" ht="35" customHeight="1" x14ac:dyDescent="0.15">
      <c r="A17" s="57" t="s">
        <v>128</v>
      </c>
      <c r="B17" s="56">
        <v>0</v>
      </c>
      <c r="C17" s="57" t="s">
        <v>130</v>
      </c>
      <c r="D17" s="56">
        <v>0</v>
      </c>
      <c r="E17" s="57" t="s">
        <v>133</v>
      </c>
      <c r="F17" s="56">
        <v>0</v>
      </c>
    </row>
    <row r="18" spans="1:6" ht="35" customHeight="1" x14ac:dyDescent="0.15">
      <c r="A18" s="57" t="s">
        <v>135</v>
      </c>
      <c r="B18" s="56">
        <v>0</v>
      </c>
      <c r="C18" s="57" t="s">
        <v>138</v>
      </c>
      <c r="D18" s="56">
        <v>0</v>
      </c>
      <c r="E18" s="57" t="s">
        <v>140</v>
      </c>
      <c r="F18" s="56">
        <v>0</v>
      </c>
    </row>
    <row r="19" spans="1:6" ht="35" customHeight="1" x14ac:dyDescent="0.15">
      <c r="A19" s="105" t="s">
        <v>42</v>
      </c>
      <c r="B19" s="106"/>
      <c r="C19" s="106"/>
      <c r="D19" s="106"/>
      <c r="E19" s="106"/>
      <c r="F19" s="56">
        <v>0</v>
      </c>
    </row>
    <row r="20" spans="1:6" ht="35" customHeight="1" x14ac:dyDescent="0.15">
      <c r="A20" s="58" t="s">
        <v>207</v>
      </c>
      <c r="B20" s="103">
        <v>46082</v>
      </c>
      <c r="C20" s="104"/>
      <c r="D20" s="104"/>
      <c r="E20" s="104"/>
      <c r="F20" s="104"/>
    </row>
    <row r="21" spans="1:6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6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6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6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6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6" ht="35" customHeight="1" x14ac:dyDescent="0.15">
      <c r="A26" s="57" t="s">
        <v>128</v>
      </c>
      <c r="B26" s="56">
        <v>0</v>
      </c>
      <c r="C26" s="57" t="s">
        <v>130</v>
      </c>
      <c r="D26" s="56">
        <v>0</v>
      </c>
      <c r="E26" s="57" t="s">
        <v>133</v>
      </c>
      <c r="F26" s="56">
        <v>0</v>
      </c>
    </row>
    <row r="27" spans="1:6" ht="35" customHeight="1" x14ac:dyDescent="0.15">
      <c r="A27" s="57" t="s">
        <v>135</v>
      </c>
      <c r="B27" s="56">
        <v>0</v>
      </c>
      <c r="C27" s="57" t="s">
        <v>138</v>
      </c>
      <c r="D27" s="56">
        <v>0</v>
      </c>
      <c r="E27" s="57" t="s">
        <v>140</v>
      </c>
      <c r="F27" s="56">
        <v>0</v>
      </c>
    </row>
    <row r="28" spans="1:6" ht="35" customHeight="1" x14ac:dyDescent="0.15">
      <c r="A28" s="105" t="s">
        <v>42</v>
      </c>
      <c r="B28" s="106"/>
      <c r="C28" s="106"/>
      <c r="D28" s="106"/>
      <c r="E28" s="106"/>
      <c r="F28" s="56">
        <v>0</v>
      </c>
    </row>
    <row r="29" spans="1:6" ht="35" customHeight="1" x14ac:dyDescent="0.15">
      <c r="A29" s="58" t="s">
        <v>207</v>
      </c>
      <c r="B29" s="103">
        <v>46113</v>
      </c>
      <c r="C29" s="104"/>
      <c r="D29" s="104"/>
      <c r="E29" s="104"/>
      <c r="F29" s="104"/>
    </row>
    <row r="30" spans="1:6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6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6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6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6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6" ht="35" customHeight="1" x14ac:dyDescent="0.15">
      <c r="A35" s="57" t="s">
        <v>128</v>
      </c>
      <c r="B35" s="56">
        <v>0</v>
      </c>
      <c r="C35" s="57" t="s">
        <v>130</v>
      </c>
      <c r="D35" s="56">
        <v>0</v>
      </c>
      <c r="E35" s="57" t="s">
        <v>133</v>
      </c>
      <c r="F35" s="56">
        <v>0</v>
      </c>
    </row>
    <row r="36" spans="1:6" ht="35" customHeight="1" x14ac:dyDescent="0.15">
      <c r="A36" s="57" t="s">
        <v>135</v>
      </c>
      <c r="B36" s="56">
        <v>0</v>
      </c>
      <c r="C36" s="57" t="s">
        <v>138</v>
      </c>
      <c r="D36" s="56">
        <v>0</v>
      </c>
      <c r="E36" s="57" t="s">
        <v>140</v>
      </c>
      <c r="F36" s="56">
        <v>0</v>
      </c>
    </row>
    <row r="37" spans="1:6" ht="35" customHeight="1" x14ac:dyDescent="0.15">
      <c r="A37" s="105" t="s">
        <v>42</v>
      </c>
      <c r="B37" s="106"/>
      <c r="C37" s="106"/>
      <c r="D37" s="106"/>
      <c r="E37" s="106"/>
      <c r="F37" s="56">
        <v>0</v>
      </c>
    </row>
    <row r="38" spans="1:6" ht="35" customHeight="1" x14ac:dyDescent="0.15">
      <c r="A38" s="58" t="s">
        <v>207</v>
      </c>
      <c r="B38" s="103">
        <v>46143</v>
      </c>
      <c r="C38" s="104"/>
      <c r="D38" s="104"/>
      <c r="E38" s="104"/>
      <c r="F38" s="104"/>
    </row>
    <row r="39" spans="1:6" ht="35" customHeight="1" x14ac:dyDescent="0.15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6" ht="35" customHeight="1" x14ac:dyDescent="0.15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6" ht="35" customHeight="1" x14ac:dyDescent="0.15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6" ht="35" customHeight="1" x14ac:dyDescent="0.15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6" ht="35" customHeight="1" x14ac:dyDescent="0.15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6" ht="35" customHeight="1" x14ac:dyDescent="0.15">
      <c r="A44" s="57" t="s">
        <v>128</v>
      </c>
      <c r="B44" s="56">
        <v>0</v>
      </c>
      <c r="C44" s="57" t="s">
        <v>130</v>
      </c>
      <c r="D44" s="56">
        <v>0</v>
      </c>
      <c r="E44" s="57" t="s">
        <v>133</v>
      </c>
      <c r="F44" s="56">
        <v>0</v>
      </c>
    </row>
    <row r="45" spans="1:6" ht="35" customHeight="1" x14ac:dyDescent="0.15">
      <c r="A45" s="57" t="s">
        <v>135</v>
      </c>
      <c r="B45" s="56">
        <v>0</v>
      </c>
      <c r="C45" s="57" t="s">
        <v>138</v>
      </c>
      <c r="D45" s="56">
        <v>0</v>
      </c>
      <c r="E45" s="57" t="s">
        <v>140</v>
      </c>
      <c r="F45" s="56">
        <v>0</v>
      </c>
    </row>
    <row r="46" spans="1:6" ht="35" customHeight="1" x14ac:dyDescent="0.15">
      <c r="A46" s="105" t="s">
        <v>42</v>
      </c>
      <c r="B46" s="106"/>
      <c r="C46" s="106"/>
      <c r="D46" s="106"/>
      <c r="E46" s="106"/>
      <c r="F46" s="56">
        <v>0</v>
      </c>
    </row>
    <row r="47" spans="1:6" ht="35" customHeight="1" x14ac:dyDescent="0.15">
      <c r="A47" s="58" t="s">
        <v>207</v>
      </c>
      <c r="B47" s="103">
        <v>46174</v>
      </c>
      <c r="C47" s="104"/>
      <c r="D47" s="104"/>
      <c r="E47" s="104"/>
      <c r="F47" s="104"/>
    </row>
    <row r="48" spans="1:6" ht="35" customHeight="1" x14ac:dyDescent="0.15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6" ht="35" customHeight="1" x14ac:dyDescent="0.15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6" ht="35" customHeight="1" x14ac:dyDescent="0.15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6" ht="35" customHeight="1" x14ac:dyDescent="0.15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6" ht="35" customHeight="1" x14ac:dyDescent="0.15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6" ht="35" customHeight="1" x14ac:dyDescent="0.15">
      <c r="A53" s="57" t="s">
        <v>128</v>
      </c>
      <c r="B53" s="56">
        <v>0</v>
      </c>
      <c r="C53" s="57" t="s">
        <v>130</v>
      </c>
      <c r="D53" s="56">
        <v>0</v>
      </c>
      <c r="E53" s="57" t="s">
        <v>133</v>
      </c>
      <c r="F53" s="56">
        <v>0</v>
      </c>
    </row>
    <row r="54" spans="1:6" ht="35" customHeight="1" x14ac:dyDescent="0.15">
      <c r="A54" s="57" t="s">
        <v>135</v>
      </c>
      <c r="B54" s="56">
        <v>0</v>
      </c>
      <c r="C54" s="57" t="s">
        <v>138</v>
      </c>
      <c r="D54" s="56">
        <v>0</v>
      </c>
      <c r="E54" s="57" t="s">
        <v>140</v>
      </c>
      <c r="F54" s="56">
        <v>0</v>
      </c>
    </row>
    <row r="55" spans="1:6" ht="35" customHeight="1" x14ac:dyDescent="0.15">
      <c r="A55" s="105" t="s">
        <v>42</v>
      </c>
      <c r="B55" s="106"/>
      <c r="C55" s="106"/>
      <c r="D55" s="106"/>
      <c r="E55" s="106"/>
      <c r="F55" s="56">
        <v>0</v>
      </c>
    </row>
    <row r="56" spans="1:6" ht="35" customHeight="1" x14ac:dyDescent="0.15">
      <c r="A56" s="58" t="s">
        <v>207</v>
      </c>
      <c r="B56" s="103">
        <v>46204</v>
      </c>
      <c r="C56" s="104"/>
      <c r="D56" s="104"/>
      <c r="E56" s="104"/>
      <c r="F56" s="104"/>
    </row>
    <row r="57" spans="1:6" ht="35" customHeight="1" x14ac:dyDescent="0.15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6" ht="35" customHeight="1" x14ac:dyDescent="0.15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6" ht="35" customHeight="1" x14ac:dyDescent="0.15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6" ht="35" customHeight="1" x14ac:dyDescent="0.15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6" ht="35" customHeight="1" x14ac:dyDescent="0.15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6" ht="35" customHeight="1" x14ac:dyDescent="0.15">
      <c r="A62" s="57" t="s">
        <v>128</v>
      </c>
      <c r="B62" s="56">
        <v>0</v>
      </c>
      <c r="C62" s="57" t="s">
        <v>130</v>
      </c>
      <c r="D62" s="56">
        <v>0</v>
      </c>
      <c r="E62" s="57" t="s">
        <v>133</v>
      </c>
      <c r="F62" s="56">
        <v>0</v>
      </c>
    </row>
    <row r="63" spans="1:6" ht="35" customHeight="1" x14ac:dyDescent="0.15">
      <c r="A63" s="57" t="s">
        <v>135</v>
      </c>
      <c r="B63" s="56">
        <v>0</v>
      </c>
      <c r="C63" s="57" t="s">
        <v>138</v>
      </c>
      <c r="D63" s="56">
        <v>0</v>
      </c>
      <c r="E63" s="57" t="s">
        <v>140</v>
      </c>
      <c r="F63" s="56">
        <v>0</v>
      </c>
    </row>
    <row r="64" spans="1:6" ht="35" customHeight="1" x14ac:dyDescent="0.15">
      <c r="A64" s="105" t="s">
        <v>42</v>
      </c>
      <c r="B64" s="106"/>
      <c r="C64" s="106"/>
      <c r="D64" s="106"/>
      <c r="E64" s="106"/>
      <c r="F64" s="56">
        <v>0</v>
      </c>
    </row>
    <row r="65" spans="1:6" ht="35" customHeight="1" x14ac:dyDescent="0.15">
      <c r="A65" s="58" t="s">
        <v>207</v>
      </c>
      <c r="B65" s="103">
        <v>46235</v>
      </c>
      <c r="C65" s="104"/>
      <c r="D65" s="104"/>
      <c r="E65" s="104"/>
      <c r="F65" s="104"/>
    </row>
    <row r="66" spans="1:6" ht="35" customHeight="1" x14ac:dyDescent="0.15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6" ht="35" customHeight="1" x14ac:dyDescent="0.15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6" ht="35" customHeight="1" x14ac:dyDescent="0.15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6" ht="35" customHeight="1" x14ac:dyDescent="0.15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6" ht="35" customHeight="1" x14ac:dyDescent="0.15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6" ht="35" customHeight="1" x14ac:dyDescent="0.15">
      <c r="A71" s="57" t="s">
        <v>128</v>
      </c>
      <c r="B71" s="56">
        <v>0</v>
      </c>
      <c r="C71" s="57" t="s">
        <v>130</v>
      </c>
      <c r="D71" s="56">
        <v>0</v>
      </c>
      <c r="E71" s="57" t="s">
        <v>133</v>
      </c>
      <c r="F71" s="56">
        <v>0</v>
      </c>
    </row>
    <row r="72" spans="1:6" ht="35" customHeight="1" x14ac:dyDescent="0.15">
      <c r="A72" s="57" t="s">
        <v>135</v>
      </c>
      <c r="B72" s="56">
        <v>0</v>
      </c>
      <c r="C72" s="57" t="s">
        <v>138</v>
      </c>
      <c r="D72" s="56">
        <v>0</v>
      </c>
      <c r="E72" s="57" t="s">
        <v>140</v>
      </c>
      <c r="F72" s="56">
        <v>0</v>
      </c>
    </row>
    <row r="73" spans="1:6" ht="35" customHeight="1" x14ac:dyDescent="0.15">
      <c r="A73" s="105" t="s">
        <v>42</v>
      </c>
      <c r="B73" s="106"/>
      <c r="C73" s="106"/>
      <c r="D73" s="106"/>
      <c r="E73" s="106"/>
      <c r="F73" s="56">
        <v>0</v>
      </c>
    </row>
    <row r="74" spans="1:6" ht="35" customHeight="1" x14ac:dyDescent="0.15">
      <c r="A74" s="58" t="s">
        <v>207</v>
      </c>
      <c r="B74" s="103">
        <v>46266</v>
      </c>
      <c r="C74" s="104"/>
      <c r="D74" s="104"/>
      <c r="E74" s="104"/>
      <c r="F74" s="104"/>
    </row>
    <row r="75" spans="1:6" ht="35" customHeight="1" x14ac:dyDescent="0.15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6" ht="35" customHeight="1" x14ac:dyDescent="0.15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6" ht="35" customHeight="1" x14ac:dyDescent="0.15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6" ht="35" customHeight="1" x14ac:dyDescent="0.15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6" ht="35" customHeight="1" x14ac:dyDescent="0.15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6" ht="35" customHeight="1" x14ac:dyDescent="0.15">
      <c r="A80" s="57" t="s">
        <v>128</v>
      </c>
      <c r="B80" s="56">
        <v>0</v>
      </c>
      <c r="C80" s="57" t="s">
        <v>130</v>
      </c>
      <c r="D80" s="56">
        <v>0</v>
      </c>
      <c r="E80" s="57" t="s">
        <v>133</v>
      </c>
      <c r="F80" s="56">
        <v>0</v>
      </c>
    </row>
    <row r="81" spans="1:6" ht="35" customHeight="1" x14ac:dyDescent="0.15">
      <c r="A81" s="57" t="s">
        <v>135</v>
      </c>
      <c r="B81" s="56">
        <v>0</v>
      </c>
      <c r="C81" s="57" t="s">
        <v>138</v>
      </c>
      <c r="D81" s="56">
        <v>0</v>
      </c>
      <c r="E81" s="57" t="s">
        <v>140</v>
      </c>
      <c r="F81" s="56">
        <v>0</v>
      </c>
    </row>
    <row r="82" spans="1:6" ht="35" customHeight="1" x14ac:dyDescent="0.15">
      <c r="A82" s="105" t="s">
        <v>42</v>
      </c>
      <c r="B82" s="106"/>
      <c r="C82" s="106"/>
      <c r="D82" s="106"/>
      <c r="E82" s="106"/>
      <c r="F82" s="56">
        <v>0</v>
      </c>
    </row>
    <row r="83" spans="1:6" ht="35" customHeight="1" x14ac:dyDescent="0.15">
      <c r="A83" s="58" t="s">
        <v>207</v>
      </c>
      <c r="B83" s="103">
        <v>46296</v>
      </c>
      <c r="C83" s="104"/>
      <c r="D83" s="104"/>
      <c r="E83" s="104"/>
      <c r="F83" s="104"/>
    </row>
    <row r="84" spans="1:6" ht="35" customHeight="1" x14ac:dyDescent="0.15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6" ht="35" customHeight="1" x14ac:dyDescent="0.15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6" ht="35" customHeight="1" x14ac:dyDescent="0.15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6" ht="35" customHeight="1" x14ac:dyDescent="0.15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6" ht="35" customHeight="1" x14ac:dyDescent="0.15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6" ht="35" customHeight="1" x14ac:dyDescent="0.15">
      <c r="A89" s="57" t="s">
        <v>128</v>
      </c>
      <c r="B89" s="56">
        <v>0</v>
      </c>
      <c r="C89" s="57" t="s">
        <v>130</v>
      </c>
      <c r="D89" s="56">
        <v>0</v>
      </c>
      <c r="E89" s="57" t="s">
        <v>133</v>
      </c>
      <c r="F89" s="56">
        <v>0</v>
      </c>
    </row>
    <row r="90" spans="1:6" ht="35" customHeight="1" x14ac:dyDescent="0.15">
      <c r="A90" s="57" t="s">
        <v>135</v>
      </c>
      <c r="B90" s="56">
        <v>0</v>
      </c>
      <c r="C90" s="57" t="s">
        <v>138</v>
      </c>
      <c r="D90" s="56">
        <v>0</v>
      </c>
      <c r="E90" s="57" t="s">
        <v>140</v>
      </c>
      <c r="F90" s="56">
        <v>0</v>
      </c>
    </row>
    <row r="91" spans="1:6" ht="35" customHeight="1" x14ac:dyDescent="0.15">
      <c r="A91" s="105" t="s">
        <v>42</v>
      </c>
      <c r="B91" s="106"/>
      <c r="C91" s="106"/>
      <c r="D91" s="106"/>
      <c r="E91" s="106"/>
      <c r="F91" s="56">
        <v>0</v>
      </c>
    </row>
    <row r="92" spans="1:6" ht="35" customHeight="1" x14ac:dyDescent="0.15">
      <c r="A92" s="58" t="s">
        <v>207</v>
      </c>
      <c r="B92" s="103">
        <v>46327</v>
      </c>
      <c r="C92" s="104"/>
      <c r="D92" s="104"/>
      <c r="E92" s="104"/>
      <c r="F92" s="104"/>
    </row>
    <row r="93" spans="1:6" ht="35" customHeight="1" x14ac:dyDescent="0.15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6" ht="35" customHeight="1" x14ac:dyDescent="0.15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6" ht="35" customHeight="1" x14ac:dyDescent="0.15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6" ht="35" customHeight="1" x14ac:dyDescent="0.15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6" ht="35" customHeight="1" x14ac:dyDescent="0.15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6" ht="35" customHeight="1" x14ac:dyDescent="0.15">
      <c r="A98" s="57" t="s">
        <v>128</v>
      </c>
      <c r="B98" s="56">
        <v>0</v>
      </c>
      <c r="C98" s="57" t="s">
        <v>130</v>
      </c>
      <c r="D98" s="56">
        <v>0</v>
      </c>
      <c r="E98" s="57" t="s">
        <v>133</v>
      </c>
      <c r="F98" s="56">
        <v>0</v>
      </c>
    </row>
    <row r="99" spans="1:6" ht="35" customHeight="1" x14ac:dyDescent="0.15">
      <c r="A99" s="57" t="s">
        <v>135</v>
      </c>
      <c r="B99" s="56">
        <v>0</v>
      </c>
      <c r="C99" s="57" t="s">
        <v>138</v>
      </c>
      <c r="D99" s="56">
        <v>0</v>
      </c>
      <c r="E99" s="57" t="s">
        <v>140</v>
      </c>
      <c r="F99" s="56">
        <v>0</v>
      </c>
    </row>
    <row r="100" spans="1:6" ht="35" customHeight="1" x14ac:dyDescent="0.15">
      <c r="A100" s="105" t="s">
        <v>42</v>
      </c>
      <c r="B100" s="106"/>
      <c r="C100" s="106"/>
      <c r="D100" s="106"/>
      <c r="E100" s="106"/>
      <c r="F100" s="56">
        <v>0</v>
      </c>
    </row>
    <row r="101" spans="1:6" ht="35" customHeight="1" x14ac:dyDescent="0.15">
      <c r="A101" s="58" t="s">
        <v>207</v>
      </c>
      <c r="B101" s="103">
        <v>46357</v>
      </c>
      <c r="C101" s="104"/>
      <c r="D101" s="104"/>
      <c r="E101" s="104"/>
      <c r="F101" s="104"/>
    </row>
    <row r="102" spans="1:6" ht="35" customHeight="1" x14ac:dyDescent="0.15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6" ht="35" customHeight="1" x14ac:dyDescent="0.15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6" ht="35" customHeight="1" x14ac:dyDescent="0.15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6" ht="35" customHeight="1" x14ac:dyDescent="0.15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6" ht="35" customHeight="1" x14ac:dyDescent="0.15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6" ht="35" customHeight="1" x14ac:dyDescent="0.15">
      <c r="A107" s="57" t="s">
        <v>128</v>
      </c>
      <c r="B107" s="56">
        <v>0</v>
      </c>
      <c r="C107" s="57" t="s">
        <v>130</v>
      </c>
      <c r="D107" s="56">
        <v>0</v>
      </c>
      <c r="E107" s="57" t="s">
        <v>133</v>
      </c>
      <c r="F107" s="56">
        <v>0</v>
      </c>
    </row>
    <row r="108" spans="1:6" ht="35" customHeight="1" x14ac:dyDescent="0.15">
      <c r="A108" s="57" t="s">
        <v>135</v>
      </c>
      <c r="B108" s="56">
        <v>0</v>
      </c>
      <c r="C108" s="57" t="s">
        <v>138</v>
      </c>
      <c r="D108" s="56">
        <v>0</v>
      </c>
      <c r="E108" s="57" t="s">
        <v>140</v>
      </c>
      <c r="F108" s="56">
        <v>0</v>
      </c>
    </row>
    <row r="109" spans="1:6" ht="35" customHeight="1" x14ac:dyDescent="0.15">
      <c r="A109" s="105" t="s">
        <v>42</v>
      </c>
      <c r="B109" s="106"/>
      <c r="C109" s="106"/>
      <c r="D109" s="106"/>
      <c r="E109" s="106"/>
      <c r="F109" s="56">
        <v>0</v>
      </c>
    </row>
  </sheetData>
  <mergeCells count="26">
    <mergeCell ref="A19:E19"/>
    <mergeCell ref="B1:D1"/>
    <mergeCell ref="E1:F1"/>
    <mergeCell ref="B2:F2"/>
    <mergeCell ref="A10:E10"/>
    <mergeCell ref="B11:F11"/>
    <mergeCell ref="A73:E73"/>
    <mergeCell ref="B20:F20"/>
    <mergeCell ref="A28:E28"/>
    <mergeCell ref="B29:F29"/>
    <mergeCell ref="A37:E37"/>
    <mergeCell ref="B38:F38"/>
    <mergeCell ref="A46:E46"/>
    <mergeCell ref="B47:F47"/>
    <mergeCell ref="A55:E55"/>
    <mergeCell ref="B56:F56"/>
    <mergeCell ref="A64:E64"/>
    <mergeCell ref="B65:F65"/>
    <mergeCell ref="B101:F101"/>
    <mergeCell ref="A109:E109"/>
    <mergeCell ref="B74:F74"/>
    <mergeCell ref="A82:E82"/>
    <mergeCell ref="B83:F83"/>
    <mergeCell ref="A91:E91"/>
    <mergeCell ref="B92:F92"/>
    <mergeCell ref="A100:E10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4"/>
  <dimension ref="A1:M111"/>
  <sheetViews>
    <sheetView zoomScaleNormal="100" workbookViewId="0">
      <pane ySplit="1" topLeftCell="A7" activePane="bottomLeft" state="frozen"/>
      <selection activeCell="C1" sqref="C1"/>
      <selection pane="bottomLeft" activeCell="A2" sqref="A2"/>
    </sheetView>
  </sheetViews>
  <sheetFormatPr baseColWidth="10" defaultColWidth="8.6640625" defaultRowHeight="35" customHeight="1" x14ac:dyDescent="0.2"/>
  <cols>
    <col min="1" max="1" width="25.6640625" style="1" customWidth="1"/>
    <col min="2" max="2" width="10.6640625" style="1" customWidth="1"/>
    <col min="3" max="3" width="25.6640625" style="1" customWidth="1"/>
    <col min="4" max="4" width="10.6640625" style="1" customWidth="1"/>
    <col min="5" max="5" width="25.6640625" style="1" customWidth="1"/>
    <col min="6" max="6" width="10.6640625" style="1" customWidth="1"/>
    <col min="7" max="11" width="15.6640625" style="1" customWidth="1"/>
    <col min="12" max="12" width="8.6640625" style="1"/>
    <col min="13" max="13" width="20.6640625" style="1" customWidth="1"/>
    <col min="14" max="16384" width="8.6640625" style="1"/>
  </cols>
  <sheetData>
    <row r="1" spans="1:13" ht="50" customHeight="1" x14ac:dyDescent="0.2">
      <c r="J1" s="101"/>
      <c r="K1" s="101"/>
    </row>
    <row r="2" spans="1:13" ht="35" customHeight="1" x14ac:dyDescent="0.2">
      <c r="A2" s="2" t="s">
        <v>207</v>
      </c>
      <c r="B2" s="100">
        <v>46023</v>
      </c>
      <c r="C2" s="100"/>
      <c r="D2" s="100"/>
      <c r="E2" s="100"/>
      <c r="F2" s="100"/>
      <c r="G2" s="100"/>
      <c r="H2" s="100"/>
      <c r="I2" s="100"/>
      <c r="J2" s="100"/>
      <c r="K2" s="100"/>
      <c r="M2" s="15" t="s">
        <v>32</v>
      </c>
    </row>
    <row r="3" spans="1:13" ht="35" customHeight="1" x14ac:dyDescent="0.2">
      <c r="A3" s="3" t="s">
        <v>0</v>
      </c>
      <c r="B3" s="96" t="s">
        <v>44</v>
      </c>
      <c r="C3" s="96"/>
      <c r="D3" s="96"/>
      <c r="E3" s="96"/>
      <c r="F3" s="96"/>
      <c r="G3" s="96"/>
      <c r="H3" s="96"/>
      <c r="I3" s="96"/>
      <c r="J3" s="96"/>
      <c r="K3" s="96"/>
      <c r="M3" s="6" t="s">
        <v>182</v>
      </c>
    </row>
    <row r="4" spans="1:13" ht="35" customHeight="1" x14ac:dyDescent="0.2">
      <c r="A4" s="4" t="s">
        <v>17</v>
      </c>
      <c r="B4" s="5">
        <v>5</v>
      </c>
      <c r="C4" s="4" t="s">
        <v>49</v>
      </c>
      <c r="D4" s="5">
        <v>40</v>
      </c>
      <c r="E4" s="4" t="s">
        <v>18</v>
      </c>
      <c r="F4" s="5">
        <v>7.75</v>
      </c>
      <c r="G4" s="97" t="s">
        <v>33</v>
      </c>
      <c r="H4" s="97"/>
      <c r="I4" s="97"/>
      <c r="J4" s="97"/>
      <c r="K4" s="97"/>
      <c r="M4" s="6" t="s">
        <v>183</v>
      </c>
    </row>
    <row r="5" spans="1:13" ht="35" customHeight="1" x14ac:dyDescent="0.2">
      <c r="A5" s="4" t="s">
        <v>19</v>
      </c>
      <c r="B5" s="5">
        <v>1.7</v>
      </c>
      <c r="C5" s="4" t="s">
        <v>35</v>
      </c>
      <c r="D5" s="5">
        <v>132</v>
      </c>
      <c r="E5" s="4" t="s">
        <v>36</v>
      </c>
      <c r="F5" s="5">
        <v>120</v>
      </c>
      <c r="G5" s="7" t="s">
        <v>76</v>
      </c>
      <c r="H5" s="7" t="s">
        <v>5</v>
      </c>
      <c r="I5" s="7" t="s">
        <v>6</v>
      </c>
      <c r="J5" s="7" t="s">
        <v>7</v>
      </c>
      <c r="K5" s="7" t="s">
        <v>8</v>
      </c>
      <c r="M5" s="6" t="s">
        <v>184</v>
      </c>
    </row>
    <row r="6" spans="1:13" ht="35" customHeight="1" x14ac:dyDescent="0.2">
      <c r="A6" s="4" t="s">
        <v>58</v>
      </c>
      <c r="B6" s="5">
        <v>0</v>
      </c>
      <c r="C6" s="4" t="s">
        <v>37</v>
      </c>
      <c r="D6" s="5">
        <v>2.75</v>
      </c>
      <c r="E6" s="4" t="s">
        <v>22</v>
      </c>
      <c r="F6" s="5">
        <v>0.4</v>
      </c>
      <c r="G6" s="95">
        <v>50</v>
      </c>
      <c r="H6" s="95">
        <v>0</v>
      </c>
      <c r="I6" s="95">
        <v>0</v>
      </c>
      <c r="J6" s="95">
        <v>0</v>
      </c>
      <c r="K6" s="95">
        <v>0</v>
      </c>
      <c r="M6" s="6" t="s">
        <v>185</v>
      </c>
    </row>
    <row r="7" spans="1:13" ht="35" customHeight="1" x14ac:dyDescent="0.2">
      <c r="A7" s="4" t="s">
        <v>23</v>
      </c>
      <c r="B7" s="5">
        <v>0</v>
      </c>
      <c r="C7" s="4" t="s">
        <v>38</v>
      </c>
      <c r="D7" s="5">
        <v>1.05</v>
      </c>
      <c r="E7" s="4" t="s">
        <v>39</v>
      </c>
      <c r="F7" s="5">
        <v>0</v>
      </c>
      <c r="G7" s="95"/>
      <c r="H7" s="95"/>
      <c r="I7" s="95"/>
      <c r="J7" s="95"/>
      <c r="K7" s="95"/>
      <c r="M7" s="6" t="s">
        <v>84</v>
      </c>
    </row>
    <row r="8" spans="1:13" ht="35" customHeight="1" x14ac:dyDescent="0.2">
      <c r="A8" s="4" t="s">
        <v>40</v>
      </c>
      <c r="B8" s="5">
        <v>0</v>
      </c>
      <c r="C8" s="4" t="s">
        <v>41</v>
      </c>
      <c r="D8" s="5">
        <v>0</v>
      </c>
      <c r="E8" s="4"/>
      <c r="F8" s="5">
        <v>0</v>
      </c>
      <c r="G8" s="7" t="s">
        <v>9</v>
      </c>
      <c r="H8" s="7" t="s">
        <v>10</v>
      </c>
      <c r="I8" s="7" t="s">
        <v>11</v>
      </c>
      <c r="J8" s="7" t="s">
        <v>12</v>
      </c>
      <c r="K8" s="7" t="s">
        <v>13</v>
      </c>
      <c r="M8" s="6" t="s">
        <v>186</v>
      </c>
    </row>
    <row r="9" spans="1:13" ht="35" customHeight="1" x14ac:dyDescent="0.2">
      <c r="A9" s="9" t="s">
        <v>128</v>
      </c>
      <c r="B9" s="5">
        <v>60</v>
      </c>
      <c r="C9" s="9" t="s">
        <v>130</v>
      </c>
      <c r="D9" s="5">
        <v>4.5</v>
      </c>
      <c r="E9" s="9" t="s">
        <v>133</v>
      </c>
      <c r="F9" s="5">
        <v>0</v>
      </c>
      <c r="G9" s="95">
        <v>0</v>
      </c>
      <c r="H9" s="95">
        <v>0</v>
      </c>
      <c r="I9" s="95">
        <v>0</v>
      </c>
      <c r="J9" s="95">
        <v>0</v>
      </c>
      <c r="K9" s="95">
        <v>0</v>
      </c>
    </row>
    <row r="10" spans="1:13" ht="35" customHeight="1" x14ac:dyDescent="0.2">
      <c r="A10" s="9" t="s">
        <v>135</v>
      </c>
      <c r="B10" s="5">
        <v>0</v>
      </c>
      <c r="C10" s="9" t="s">
        <v>138</v>
      </c>
      <c r="D10" s="5">
        <v>0</v>
      </c>
      <c r="E10" s="9" t="s">
        <v>140</v>
      </c>
      <c r="F10" s="5">
        <v>0</v>
      </c>
      <c r="G10" s="95"/>
      <c r="H10" s="95"/>
      <c r="I10" s="95"/>
      <c r="J10" s="95"/>
      <c r="K10" s="95"/>
      <c r="M10" s="8"/>
    </row>
    <row r="11" spans="1:13" ht="35" customHeight="1" x14ac:dyDescent="0.2">
      <c r="A11" s="98" t="s">
        <v>42</v>
      </c>
      <c r="B11" s="99"/>
      <c r="C11" s="99"/>
      <c r="D11" s="99"/>
      <c r="E11" s="99"/>
      <c r="F11" s="5">
        <v>197</v>
      </c>
      <c r="G11" s="95"/>
      <c r="H11" s="95"/>
      <c r="I11" s="95"/>
      <c r="J11" s="95"/>
      <c r="K11" s="95"/>
      <c r="M11" s="8"/>
    </row>
    <row r="12" spans="1:13" ht="35" customHeight="1" x14ac:dyDescent="0.2">
      <c r="A12" s="3" t="s">
        <v>0</v>
      </c>
      <c r="B12" s="96" t="s">
        <v>77</v>
      </c>
      <c r="C12" s="96"/>
      <c r="D12" s="96"/>
      <c r="E12" s="96"/>
      <c r="F12" s="96"/>
      <c r="G12" s="96"/>
      <c r="H12" s="96"/>
      <c r="I12" s="96"/>
      <c r="J12" s="96"/>
      <c r="K12" s="96"/>
    </row>
    <row r="13" spans="1:13" ht="35" customHeight="1" x14ac:dyDescent="0.2">
      <c r="A13" s="4" t="s">
        <v>17</v>
      </c>
      <c r="B13" s="5">
        <v>0.245</v>
      </c>
      <c r="C13" s="4" t="s">
        <v>49</v>
      </c>
      <c r="D13" s="5">
        <v>12.897500000000001</v>
      </c>
      <c r="E13" s="4" t="s">
        <v>18</v>
      </c>
      <c r="F13" s="5">
        <v>3.3250000000000002</v>
      </c>
      <c r="G13" s="97" t="s">
        <v>33</v>
      </c>
      <c r="H13" s="97"/>
      <c r="I13" s="97"/>
      <c r="J13" s="97"/>
      <c r="K13" s="97"/>
      <c r="L13" s="8"/>
    </row>
    <row r="14" spans="1:13" ht="35" customHeight="1" x14ac:dyDescent="0.2">
      <c r="A14" s="4" t="s">
        <v>19</v>
      </c>
      <c r="B14" s="5">
        <v>0.4375</v>
      </c>
      <c r="C14" s="4" t="s">
        <v>35</v>
      </c>
      <c r="D14" s="5">
        <v>57.924999999999997</v>
      </c>
      <c r="E14" s="4" t="s">
        <v>36</v>
      </c>
      <c r="F14" s="5">
        <v>0</v>
      </c>
      <c r="G14" s="7" t="s">
        <v>78</v>
      </c>
      <c r="H14" s="7" t="s">
        <v>5</v>
      </c>
      <c r="I14" s="7" t="s">
        <v>6</v>
      </c>
      <c r="J14" s="7" t="s">
        <v>7</v>
      </c>
      <c r="K14" s="7" t="s">
        <v>8</v>
      </c>
    </row>
    <row r="15" spans="1:13" ht="35" customHeight="1" x14ac:dyDescent="0.2">
      <c r="A15" s="4" t="s">
        <v>58</v>
      </c>
      <c r="B15" s="5">
        <v>0</v>
      </c>
      <c r="C15" s="4" t="s">
        <v>37</v>
      </c>
      <c r="D15" s="5">
        <v>0</v>
      </c>
      <c r="E15" s="4" t="s">
        <v>22</v>
      </c>
      <c r="F15" s="5">
        <v>0.1925</v>
      </c>
      <c r="G15" s="95">
        <v>17.5</v>
      </c>
      <c r="H15" s="95">
        <v>0</v>
      </c>
      <c r="I15" s="95">
        <v>0</v>
      </c>
      <c r="J15" s="95">
        <v>0</v>
      </c>
      <c r="K15" s="95">
        <v>0</v>
      </c>
    </row>
    <row r="16" spans="1:13" ht="35" customHeight="1" x14ac:dyDescent="0.2">
      <c r="A16" s="4" t="s">
        <v>23</v>
      </c>
      <c r="B16" s="5">
        <v>0</v>
      </c>
      <c r="C16" s="4" t="s">
        <v>38</v>
      </c>
      <c r="D16" s="5">
        <v>0</v>
      </c>
      <c r="E16" s="4" t="s">
        <v>39</v>
      </c>
      <c r="F16" s="5">
        <v>0</v>
      </c>
      <c r="G16" s="95"/>
      <c r="H16" s="95"/>
      <c r="I16" s="95"/>
      <c r="J16" s="95"/>
      <c r="K16" s="95"/>
    </row>
    <row r="17" spans="1:11" ht="35" customHeight="1" x14ac:dyDescent="0.2">
      <c r="A17" s="4" t="s">
        <v>40</v>
      </c>
      <c r="B17" s="5">
        <v>0</v>
      </c>
      <c r="C17" s="4" t="s">
        <v>41</v>
      </c>
      <c r="D17" s="5">
        <v>0</v>
      </c>
      <c r="E17" s="4"/>
      <c r="F17" s="5">
        <v>0</v>
      </c>
      <c r="G17" s="7" t="s">
        <v>9</v>
      </c>
      <c r="H17" s="7" t="s">
        <v>10</v>
      </c>
      <c r="I17" s="7" t="s">
        <v>11</v>
      </c>
      <c r="J17" s="7" t="s">
        <v>12</v>
      </c>
      <c r="K17" s="7" t="s">
        <v>13</v>
      </c>
    </row>
    <row r="18" spans="1:11" ht="35" customHeight="1" x14ac:dyDescent="0.2">
      <c r="A18" s="9" t="s">
        <v>128</v>
      </c>
      <c r="B18" s="5">
        <v>0</v>
      </c>
      <c r="C18" s="9" t="s">
        <v>130</v>
      </c>
      <c r="D18" s="5">
        <v>0</v>
      </c>
      <c r="E18" s="9" t="s">
        <v>133</v>
      </c>
      <c r="F18" s="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</row>
    <row r="19" spans="1:11" ht="35" customHeight="1" x14ac:dyDescent="0.2">
      <c r="A19" s="9" t="s">
        <v>135</v>
      </c>
      <c r="B19" s="5">
        <v>0</v>
      </c>
      <c r="C19" s="9" t="s">
        <v>138</v>
      </c>
      <c r="D19" s="5">
        <v>0</v>
      </c>
      <c r="E19" s="9" t="s">
        <v>140</v>
      </c>
      <c r="F19" s="5">
        <v>0</v>
      </c>
      <c r="G19" s="95"/>
      <c r="H19" s="95"/>
      <c r="I19" s="95"/>
      <c r="J19" s="95"/>
      <c r="K19" s="95"/>
    </row>
    <row r="20" spans="1:11" ht="35" customHeight="1" x14ac:dyDescent="0.2">
      <c r="A20" s="98" t="s">
        <v>42</v>
      </c>
      <c r="B20" s="99"/>
      <c r="C20" s="99"/>
      <c r="D20" s="99"/>
      <c r="E20" s="99"/>
      <c r="F20" s="5">
        <v>78.224999999999994</v>
      </c>
      <c r="G20" s="95"/>
      <c r="H20" s="95"/>
      <c r="I20" s="95"/>
      <c r="J20" s="95"/>
      <c r="K20" s="95"/>
    </row>
    <row r="21" spans="1:11" ht="35" customHeight="1" x14ac:dyDescent="0.2">
      <c r="A21" s="3" t="s">
        <v>0</v>
      </c>
      <c r="B21" s="96" t="s">
        <v>43</v>
      </c>
      <c r="C21" s="96"/>
      <c r="D21" s="96"/>
      <c r="E21" s="96"/>
      <c r="F21" s="96"/>
      <c r="G21" s="96"/>
      <c r="H21" s="96"/>
      <c r="I21" s="96"/>
      <c r="J21" s="96"/>
      <c r="K21" s="96"/>
    </row>
    <row r="22" spans="1:11" ht="35" customHeight="1" x14ac:dyDescent="0.2">
      <c r="A22" s="4" t="s">
        <v>17</v>
      </c>
      <c r="B22" s="5">
        <v>22.56</v>
      </c>
      <c r="C22" s="4" t="s">
        <v>49</v>
      </c>
      <c r="D22" s="5">
        <v>89.542000000000002</v>
      </c>
      <c r="E22" s="4" t="s">
        <v>18</v>
      </c>
      <c r="F22" s="5">
        <v>0.42899999999999999</v>
      </c>
      <c r="G22" s="97" t="s">
        <v>33</v>
      </c>
      <c r="H22" s="97"/>
      <c r="I22" s="97"/>
      <c r="J22" s="97"/>
      <c r="K22" s="97"/>
    </row>
    <row r="23" spans="1:11" ht="35" customHeight="1" x14ac:dyDescent="0.2">
      <c r="A23" s="4" t="s">
        <v>19</v>
      </c>
      <c r="B23" s="5">
        <v>1.1599999999999999</v>
      </c>
      <c r="C23" s="4" t="s">
        <v>35</v>
      </c>
      <c r="D23" s="5">
        <v>74.925000000000011</v>
      </c>
      <c r="E23" s="4" t="s">
        <v>36</v>
      </c>
      <c r="F23" s="5">
        <v>120.15</v>
      </c>
      <c r="G23" s="7" t="s">
        <v>79</v>
      </c>
      <c r="H23" s="7" t="s">
        <v>80</v>
      </c>
      <c r="I23" s="7" t="s">
        <v>81</v>
      </c>
      <c r="J23" s="7" t="s">
        <v>7</v>
      </c>
      <c r="K23" s="7" t="s">
        <v>8</v>
      </c>
    </row>
    <row r="24" spans="1:11" ht="35" customHeight="1" x14ac:dyDescent="0.2">
      <c r="A24" s="4" t="s">
        <v>58</v>
      </c>
      <c r="B24" s="5">
        <v>61.2</v>
      </c>
      <c r="C24" s="4" t="s">
        <v>37</v>
      </c>
      <c r="D24" s="5">
        <v>2.7949999999999999</v>
      </c>
      <c r="E24" s="4" t="s">
        <v>22</v>
      </c>
      <c r="F24" s="5">
        <v>0.2712</v>
      </c>
      <c r="G24" s="95">
        <v>90</v>
      </c>
      <c r="H24" s="95">
        <v>110</v>
      </c>
      <c r="I24" s="95">
        <v>345</v>
      </c>
      <c r="J24" s="95">
        <v>0</v>
      </c>
      <c r="K24" s="95">
        <v>0</v>
      </c>
    </row>
    <row r="25" spans="1:11" ht="35" customHeight="1" x14ac:dyDescent="0.2">
      <c r="A25" s="4" t="s">
        <v>23</v>
      </c>
      <c r="B25" s="5">
        <v>3.4020000000000001E-3</v>
      </c>
      <c r="C25" s="4" t="s">
        <v>38</v>
      </c>
      <c r="D25" s="5">
        <v>4.7190000000000003</v>
      </c>
      <c r="E25" s="4" t="s">
        <v>39</v>
      </c>
      <c r="F25" s="5">
        <v>3.6420000000000003</v>
      </c>
      <c r="G25" s="95"/>
      <c r="H25" s="95"/>
      <c r="I25" s="95"/>
      <c r="J25" s="95"/>
      <c r="K25" s="95"/>
    </row>
    <row r="26" spans="1:11" ht="35" customHeight="1" x14ac:dyDescent="0.2">
      <c r="A26" s="4" t="s">
        <v>40</v>
      </c>
      <c r="B26" s="5">
        <v>79.650000000000006</v>
      </c>
      <c r="C26" s="4" t="s">
        <v>41</v>
      </c>
      <c r="D26" s="5">
        <v>707.5</v>
      </c>
      <c r="E26" s="4"/>
      <c r="F26" s="5">
        <v>0</v>
      </c>
      <c r="G26" s="7" t="s">
        <v>9</v>
      </c>
      <c r="H26" s="7" t="s">
        <v>10</v>
      </c>
      <c r="I26" s="7" t="s">
        <v>11</v>
      </c>
      <c r="J26" s="7" t="s">
        <v>12</v>
      </c>
      <c r="K26" s="7" t="s">
        <v>13</v>
      </c>
    </row>
    <row r="27" spans="1:11" ht="35" customHeight="1" x14ac:dyDescent="0.2">
      <c r="A27" s="9" t="s">
        <v>128</v>
      </c>
      <c r="B27" s="5">
        <v>0</v>
      </c>
      <c r="C27" s="9" t="s">
        <v>130</v>
      </c>
      <c r="D27" s="5">
        <v>0</v>
      </c>
      <c r="E27" s="9" t="s">
        <v>133</v>
      </c>
      <c r="F27" s="5">
        <v>0</v>
      </c>
      <c r="G27" s="95">
        <v>0</v>
      </c>
      <c r="H27" s="95">
        <v>0</v>
      </c>
      <c r="I27" s="95">
        <v>0</v>
      </c>
      <c r="J27" s="95">
        <v>0</v>
      </c>
      <c r="K27" s="95">
        <v>0</v>
      </c>
    </row>
    <row r="28" spans="1:11" ht="35" customHeight="1" x14ac:dyDescent="0.2">
      <c r="A28" s="9" t="s">
        <v>135</v>
      </c>
      <c r="B28" s="5">
        <v>0</v>
      </c>
      <c r="C28" s="9" t="s">
        <v>138</v>
      </c>
      <c r="D28" s="5">
        <v>0</v>
      </c>
      <c r="E28" s="9" t="s">
        <v>140</v>
      </c>
      <c r="F28" s="5">
        <v>0</v>
      </c>
      <c r="G28" s="95"/>
      <c r="H28" s="95"/>
      <c r="I28" s="95"/>
      <c r="J28" s="95"/>
      <c r="K28" s="95"/>
    </row>
    <row r="29" spans="1:11" ht="35" customHeight="1" x14ac:dyDescent="0.2">
      <c r="A29" s="98" t="s">
        <v>42</v>
      </c>
      <c r="B29" s="99"/>
      <c r="C29" s="99"/>
      <c r="D29" s="99"/>
      <c r="E29" s="99"/>
      <c r="F29" s="5">
        <v>502.7</v>
      </c>
      <c r="G29" s="95"/>
      <c r="H29" s="95"/>
      <c r="I29" s="95"/>
      <c r="J29" s="95"/>
      <c r="K29" s="95"/>
    </row>
    <row r="30" spans="1:11" ht="35" customHeight="1" x14ac:dyDescent="0.2">
      <c r="A30" s="3" t="s">
        <v>0</v>
      </c>
      <c r="B30" s="96" t="s">
        <v>82</v>
      </c>
      <c r="C30" s="96"/>
      <c r="D30" s="96"/>
      <c r="E30" s="96"/>
      <c r="F30" s="96"/>
      <c r="G30" s="96"/>
      <c r="H30" s="96"/>
      <c r="I30" s="96"/>
      <c r="J30" s="96"/>
      <c r="K30" s="96"/>
    </row>
    <row r="31" spans="1:11" ht="35" customHeight="1" x14ac:dyDescent="0.2">
      <c r="A31" s="4" t="s">
        <v>17</v>
      </c>
      <c r="B31" s="5">
        <v>0.76</v>
      </c>
      <c r="C31" s="4" t="s">
        <v>49</v>
      </c>
      <c r="D31" s="5">
        <v>42.980000000000004</v>
      </c>
      <c r="E31" s="4" t="s">
        <v>18</v>
      </c>
      <c r="F31" s="5">
        <v>7.6</v>
      </c>
      <c r="G31" s="97" t="s">
        <v>33</v>
      </c>
      <c r="H31" s="97"/>
      <c r="I31" s="97"/>
      <c r="J31" s="97"/>
      <c r="K31" s="97"/>
    </row>
    <row r="32" spans="1:11" ht="35" customHeight="1" x14ac:dyDescent="0.2">
      <c r="A32" s="4" t="s">
        <v>19</v>
      </c>
      <c r="B32" s="5">
        <v>1.2</v>
      </c>
      <c r="C32" s="4" t="s">
        <v>35</v>
      </c>
      <c r="D32" s="5">
        <v>134</v>
      </c>
      <c r="E32" s="4" t="s">
        <v>36</v>
      </c>
      <c r="F32" s="5">
        <v>4</v>
      </c>
      <c r="G32" s="7" t="s">
        <v>78</v>
      </c>
      <c r="H32" s="7" t="s">
        <v>83</v>
      </c>
      <c r="I32" s="7" t="s">
        <v>6</v>
      </c>
      <c r="J32" s="7" t="s">
        <v>7</v>
      </c>
      <c r="K32" s="7" t="s">
        <v>8</v>
      </c>
    </row>
    <row r="33" spans="1:11" ht="35" customHeight="1" x14ac:dyDescent="0.2">
      <c r="A33" s="4" t="s">
        <v>58</v>
      </c>
      <c r="B33" s="5">
        <v>0</v>
      </c>
      <c r="C33" s="4" t="s">
        <v>37</v>
      </c>
      <c r="D33" s="5">
        <v>1.2</v>
      </c>
      <c r="E33" s="4" t="s">
        <v>22</v>
      </c>
      <c r="F33" s="5">
        <v>0.44</v>
      </c>
      <c r="G33" s="95">
        <v>40</v>
      </c>
      <c r="H33" s="95">
        <v>100</v>
      </c>
      <c r="I33" s="95">
        <v>0</v>
      </c>
      <c r="J33" s="95">
        <v>0</v>
      </c>
      <c r="K33" s="95">
        <v>0</v>
      </c>
    </row>
    <row r="34" spans="1:11" ht="35" customHeight="1" x14ac:dyDescent="0.2">
      <c r="A34" s="4" t="s">
        <v>23</v>
      </c>
      <c r="B34" s="5">
        <v>0</v>
      </c>
      <c r="C34" s="4" t="s">
        <v>38</v>
      </c>
      <c r="D34" s="5">
        <v>0.6</v>
      </c>
      <c r="E34" s="4" t="s">
        <v>39</v>
      </c>
      <c r="F34" s="5">
        <v>0.19</v>
      </c>
      <c r="G34" s="95"/>
      <c r="H34" s="95"/>
      <c r="I34" s="95"/>
      <c r="J34" s="95"/>
      <c r="K34" s="95"/>
    </row>
    <row r="35" spans="1:11" ht="35" customHeight="1" x14ac:dyDescent="0.2">
      <c r="A35" s="4" t="s">
        <v>40</v>
      </c>
      <c r="B35" s="5">
        <v>4</v>
      </c>
      <c r="C35" s="4" t="s">
        <v>41</v>
      </c>
      <c r="D35" s="5">
        <v>119</v>
      </c>
      <c r="E35" s="4"/>
      <c r="F35" s="5">
        <v>0</v>
      </c>
      <c r="G35" s="7" t="s">
        <v>9</v>
      </c>
      <c r="H35" s="7" t="s">
        <v>10</v>
      </c>
      <c r="I35" s="7" t="s">
        <v>11</v>
      </c>
      <c r="J35" s="7" t="s">
        <v>12</v>
      </c>
      <c r="K35" s="7" t="s">
        <v>13</v>
      </c>
    </row>
    <row r="36" spans="1:11" ht="35" customHeight="1" x14ac:dyDescent="0.2">
      <c r="A36" s="9" t="s">
        <v>128</v>
      </c>
      <c r="B36" s="5">
        <v>0</v>
      </c>
      <c r="C36" s="9" t="s">
        <v>130</v>
      </c>
      <c r="D36" s="5">
        <v>0</v>
      </c>
      <c r="E36" s="9" t="s">
        <v>133</v>
      </c>
      <c r="F36" s="5">
        <v>0</v>
      </c>
      <c r="G36" s="95">
        <v>0</v>
      </c>
      <c r="H36" s="95">
        <v>0</v>
      </c>
      <c r="I36" s="95">
        <v>0</v>
      </c>
      <c r="J36" s="95">
        <v>0</v>
      </c>
      <c r="K36" s="95">
        <v>0</v>
      </c>
    </row>
    <row r="37" spans="1:11" ht="35" customHeight="1" x14ac:dyDescent="0.2">
      <c r="A37" s="9" t="s">
        <v>135</v>
      </c>
      <c r="B37" s="5">
        <v>0</v>
      </c>
      <c r="C37" s="9" t="s">
        <v>138</v>
      </c>
      <c r="D37" s="5">
        <v>0</v>
      </c>
      <c r="E37" s="9" t="s">
        <v>140</v>
      </c>
      <c r="F37" s="5">
        <v>0</v>
      </c>
      <c r="G37" s="95"/>
      <c r="H37" s="95"/>
      <c r="I37" s="95"/>
      <c r="J37" s="95"/>
      <c r="K37" s="95"/>
    </row>
    <row r="38" spans="1:11" ht="35" customHeight="1" x14ac:dyDescent="0.2">
      <c r="A38" s="98" t="s">
        <v>42</v>
      </c>
      <c r="B38" s="99"/>
      <c r="C38" s="99"/>
      <c r="D38" s="99"/>
      <c r="E38" s="99"/>
      <c r="F38" s="5">
        <v>232.8</v>
      </c>
      <c r="G38" s="95"/>
      <c r="H38" s="95"/>
      <c r="I38" s="95"/>
      <c r="J38" s="95"/>
      <c r="K38" s="95"/>
    </row>
    <row r="39" spans="1:11" ht="35" customHeight="1" x14ac:dyDescent="0.2">
      <c r="A39" s="3" t="s">
        <v>0</v>
      </c>
      <c r="B39" s="96" t="s">
        <v>84</v>
      </c>
      <c r="C39" s="96"/>
      <c r="D39" s="96"/>
      <c r="E39" s="96"/>
      <c r="F39" s="96"/>
      <c r="G39" s="96"/>
      <c r="H39" s="96"/>
      <c r="I39" s="96"/>
      <c r="J39" s="96"/>
      <c r="K39" s="96"/>
    </row>
    <row r="40" spans="1:11" ht="35" customHeight="1" x14ac:dyDescent="0.2">
      <c r="A40" s="4" t="s">
        <v>17</v>
      </c>
      <c r="B40" s="5">
        <v>26.55</v>
      </c>
      <c r="C40" s="4" t="s">
        <v>49</v>
      </c>
      <c r="D40" s="5">
        <v>89.865000000000009</v>
      </c>
      <c r="E40" s="4" t="s">
        <v>18</v>
      </c>
      <c r="F40" s="5">
        <v>1.17</v>
      </c>
      <c r="G40" s="97" t="s">
        <v>33</v>
      </c>
      <c r="H40" s="97"/>
      <c r="I40" s="97"/>
      <c r="J40" s="97"/>
      <c r="K40" s="97"/>
    </row>
    <row r="41" spans="1:11" ht="35" customHeight="1" x14ac:dyDescent="0.2">
      <c r="A41" s="4" t="s">
        <v>19</v>
      </c>
      <c r="B41" s="5">
        <v>1.92</v>
      </c>
      <c r="C41" s="4" t="s">
        <v>35</v>
      </c>
      <c r="D41" s="5">
        <v>114.825</v>
      </c>
      <c r="E41" s="4" t="s">
        <v>36</v>
      </c>
      <c r="F41" s="5">
        <v>279.75</v>
      </c>
      <c r="G41" s="7" t="s">
        <v>79</v>
      </c>
      <c r="H41" s="7" t="s">
        <v>80</v>
      </c>
      <c r="I41" s="7" t="s">
        <v>81</v>
      </c>
      <c r="J41" s="7" t="s">
        <v>7</v>
      </c>
      <c r="K41" s="7" t="s">
        <v>8</v>
      </c>
    </row>
    <row r="42" spans="1:11" ht="35" customHeight="1" x14ac:dyDescent="0.2">
      <c r="A42" s="4" t="s">
        <v>58</v>
      </c>
      <c r="B42" s="5">
        <v>61.2</v>
      </c>
      <c r="C42" s="4" t="s">
        <v>37</v>
      </c>
      <c r="D42" s="5">
        <v>5.835</v>
      </c>
      <c r="E42" s="4" t="s">
        <v>22</v>
      </c>
      <c r="F42" s="5">
        <v>0.35099999999999998</v>
      </c>
      <c r="G42" s="95">
        <v>90</v>
      </c>
      <c r="H42" s="95">
        <v>300</v>
      </c>
      <c r="I42" s="95">
        <v>345</v>
      </c>
      <c r="J42" s="95">
        <v>0</v>
      </c>
      <c r="K42" s="95">
        <v>0</v>
      </c>
    </row>
    <row r="43" spans="1:11" ht="35" customHeight="1" x14ac:dyDescent="0.2">
      <c r="A43" s="4" t="s">
        <v>23</v>
      </c>
      <c r="B43" s="5">
        <v>3.4020000000000001E-3</v>
      </c>
      <c r="C43" s="4" t="s">
        <v>38</v>
      </c>
      <c r="D43" s="5">
        <v>4.7190000000000003</v>
      </c>
      <c r="E43" s="4" t="s">
        <v>39</v>
      </c>
      <c r="F43" s="5">
        <v>3.6420000000000003</v>
      </c>
      <c r="G43" s="95"/>
      <c r="H43" s="95"/>
      <c r="I43" s="95"/>
      <c r="J43" s="95"/>
      <c r="K43" s="95"/>
    </row>
    <row r="44" spans="1:11" ht="35" customHeight="1" x14ac:dyDescent="0.2">
      <c r="A44" s="4" t="s">
        <v>40</v>
      </c>
      <c r="B44" s="5">
        <v>79.650000000000006</v>
      </c>
      <c r="C44" s="4" t="s">
        <v>41</v>
      </c>
      <c r="D44" s="5">
        <v>1144.5</v>
      </c>
      <c r="E44" s="4"/>
      <c r="F44" s="5">
        <v>0</v>
      </c>
      <c r="G44" s="7" t="s">
        <v>9</v>
      </c>
      <c r="H44" s="7" t="s">
        <v>10</v>
      </c>
      <c r="I44" s="7" t="s">
        <v>11</v>
      </c>
      <c r="J44" s="7" t="s">
        <v>12</v>
      </c>
      <c r="K44" s="7" t="s">
        <v>13</v>
      </c>
    </row>
    <row r="45" spans="1:11" ht="35" customHeight="1" x14ac:dyDescent="0.2">
      <c r="A45" s="9" t="s">
        <v>128</v>
      </c>
      <c r="B45" s="5">
        <v>0</v>
      </c>
      <c r="C45" s="9" t="s">
        <v>130</v>
      </c>
      <c r="D45" s="5">
        <v>0</v>
      </c>
      <c r="E45" s="9" t="s">
        <v>133</v>
      </c>
      <c r="F45" s="5">
        <v>0</v>
      </c>
      <c r="G45" s="95">
        <v>0</v>
      </c>
      <c r="H45" s="95">
        <v>0</v>
      </c>
      <c r="I45" s="95">
        <v>0</v>
      </c>
      <c r="J45" s="95">
        <v>0</v>
      </c>
      <c r="K45" s="95">
        <v>0</v>
      </c>
    </row>
    <row r="46" spans="1:11" ht="35" customHeight="1" x14ac:dyDescent="0.2">
      <c r="A46" s="9" t="s">
        <v>135</v>
      </c>
      <c r="B46" s="5">
        <v>0</v>
      </c>
      <c r="C46" s="9" t="s">
        <v>138</v>
      </c>
      <c r="D46" s="5">
        <v>0</v>
      </c>
      <c r="E46" s="9" t="s">
        <v>140</v>
      </c>
      <c r="F46" s="5">
        <v>0</v>
      </c>
      <c r="G46" s="95"/>
      <c r="H46" s="95"/>
      <c r="I46" s="95"/>
      <c r="J46" s="95"/>
      <c r="K46" s="95"/>
    </row>
    <row r="47" spans="1:11" ht="35" customHeight="1" x14ac:dyDescent="0.2">
      <c r="A47" s="98" t="s">
        <v>42</v>
      </c>
      <c r="B47" s="99"/>
      <c r="C47" s="99"/>
      <c r="D47" s="99"/>
      <c r="E47" s="99"/>
      <c r="F47" s="5">
        <v>527.4</v>
      </c>
      <c r="G47" s="95"/>
      <c r="H47" s="95"/>
      <c r="I47" s="95"/>
      <c r="J47" s="95"/>
      <c r="K47" s="95"/>
    </row>
    <row r="48" spans="1:11" ht="35" customHeight="1" x14ac:dyDescent="0.2">
      <c r="A48" s="3" t="s">
        <v>0</v>
      </c>
      <c r="B48" s="96" t="s">
        <v>85</v>
      </c>
      <c r="C48" s="96"/>
      <c r="D48" s="96"/>
      <c r="E48" s="96"/>
      <c r="F48" s="96"/>
      <c r="G48" s="96"/>
      <c r="H48" s="96"/>
      <c r="I48" s="96"/>
      <c r="J48" s="96"/>
      <c r="K48" s="96"/>
    </row>
    <row r="49" spans="1:11" ht="35" customHeight="1" x14ac:dyDescent="0.2">
      <c r="A49" s="4" t="s">
        <v>17</v>
      </c>
      <c r="B49" s="5">
        <v>7.77</v>
      </c>
      <c r="C49" s="4" t="s">
        <v>49</v>
      </c>
      <c r="D49" s="5">
        <v>48.85</v>
      </c>
      <c r="E49" s="4" t="s">
        <v>18</v>
      </c>
      <c r="F49" s="5">
        <v>11.75</v>
      </c>
      <c r="G49" s="97" t="s">
        <v>33</v>
      </c>
      <c r="H49" s="97"/>
      <c r="I49" s="97"/>
      <c r="J49" s="97"/>
      <c r="K49" s="97"/>
    </row>
    <row r="50" spans="1:11" ht="35" customHeight="1" x14ac:dyDescent="0.2">
      <c r="A50" s="4" t="s">
        <v>19</v>
      </c>
      <c r="B50" s="5">
        <v>0.77</v>
      </c>
      <c r="C50" s="4" t="s">
        <v>35</v>
      </c>
      <c r="D50" s="5">
        <v>99.16</v>
      </c>
      <c r="E50" s="4" t="s">
        <v>36</v>
      </c>
      <c r="F50" s="5">
        <v>297.89999999999998</v>
      </c>
      <c r="G50" s="7" t="s">
        <v>86</v>
      </c>
      <c r="H50" s="7" t="s">
        <v>83</v>
      </c>
      <c r="I50" s="7" t="s">
        <v>6</v>
      </c>
      <c r="J50" s="7" t="s">
        <v>7</v>
      </c>
      <c r="K50" s="7" t="s">
        <v>8</v>
      </c>
    </row>
    <row r="51" spans="1:11" ht="35" customHeight="1" x14ac:dyDescent="0.2">
      <c r="A51" s="4" t="s">
        <v>58</v>
      </c>
      <c r="B51" s="5">
        <v>7.5</v>
      </c>
      <c r="C51" s="4" t="s">
        <v>37</v>
      </c>
      <c r="D51" s="5">
        <v>3.12</v>
      </c>
      <c r="E51" s="4" t="s">
        <v>22</v>
      </c>
      <c r="F51" s="5">
        <v>0</v>
      </c>
      <c r="G51" s="95">
        <v>250</v>
      </c>
      <c r="H51" s="95">
        <v>260</v>
      </c>
      <c r="I51" s="95">
        <v>0</v>
      </c>
      <c r="J51" s="95">
        <v>0</v>
      </c>
      <c r="K51" s="95">
        <v>0</v>
      </c>
    </row>
    <row r="52" spans="1:11" ht="35" customHeight="1" x14ac:dyDescent="0.2">
      <c r="A52" s="4" t="s">
        <v>23</v>
      </c>
      <c r="B52" s="5">
        <v>0</v>
      </c>
      <c r="C52" s="4" t="s">
        <v>38</v>
      </c>
      <c r="D52" s="5">
        <v>1.56</v>
      </c>
      <c r="E52" s="4" t="s">
        <v>39</v>
      </c>
      <c r="F52" s="5">
        <v>0.49399999999999999</v>
      </c>
      <c r="G52" s="95"/>
      <c r="H52" s="95"/>
      <c r="I52" s="95"/>
      <c r="J52" s="95"/>
      <c r="K52" s="95"/>
    </row>
    <row r="53" spans="1:11" ht="35" customHeight="1" x14ac:dyDescent="0.2">
      <c r="A53" s="4" t="s">
        <v>40</v>
      </c>
      <c r="B53" s="5">
        <v>10.4</v>
      </c>
      <c r="C53" s="4" t="s">
        <v>41</v>
      </c>
      <c r="D53" s="5">
        <v>309.39999999999998</v>
      </c>
      <c r="E53" s="4"/>
      <c r="F53" s="5">
        <v>0</v>
      </c>
      <c r="G53" s="7" t="s">
        <v>9</v>
      </c>
      <c r="H53" s="7" t="s">
        <v>10</v>
      </c>
      <c r="I53" s="7" t="s">
        <v>11</v>
      </c>
      <c r="J53" s="7" t="s">
        <v>12</v>
      </c>
      <c r="K53" s="7" t="s">
        <v>13</v>
      </c>
    </row>
    <row r="54" spans="1:11" ht="35" customHeight="1" x14ac:dyDescent="0.2">
      <c r="A54" s="9" t="s">
        <v>128</v>
      </c>
      <c r="B54" s="5">
        <v>0</v>
      </c>
      <c r="C54" s="9" t="s">
        <v>130</v>
      </c>
      <c r="D54" s="5">
        <v>0</v>
      </c>
      <c r="E54" s="9" t="s">
        <v>133</v>
      </c>
      <c r="F54" s="5">
        <v>0</v>
      </c>
      <c r="G54" s="95">
        <v>0</v>
      </c>
      <c r="H54" s="95">
        <v>0</v>
      </c>
      <c r="I54" s="95">
        <v>0</v>
      </c>
      <c r="J54" s="95">
        <v>0</v>
      </c>
      <c r="K54" s="95">
        <v>0</v>
      </c>
    </row>
    <row r="55" spans="1:11" ht="35" customHeight="1" x14ac:dyDescent="0.2">
      <c r="A55" s="9" t="s">
        <v>135</v>
      </c>
      <c r="B55" s="5">
        <v>0</v>
      </c>
      <c r="C55" s="9" t="s">
        <v>138</v>
      </c>
      <c r="D55" s="5">
        <v>0</v>
      </c>
      <c r="E55" s="9" t="s">
        <v>140</v>
      </c>
      <c r="F55" s="5">
        <v>0</v>
      </c>
      <c r="G55" s="95"/>
      <c r="H55" s="95"/>
      <c r="I55" s="95"/>
      <c r="J55" s="95"/>
      <c r="K55" s="95"/>
    </row>
    <row r="56" spans="1:11" ht="35" customHeight="1" x14ac:dyDescent="0.2">
      <c r="A56" s="98" t="s">
        <v>42</v>
      </c>
      <c r="B56" s="99"/>
      <c r="C56" s="99"/>
      <c r="D56" s="99"/>
      <c r="E56" s="99"/>
      <c r="F56" s="5">
        <v>227.9</v>
      </c>
      <c r="G56" s="95"/>
      <c r="H56" s="95"/>
      <c r="I56" s="95"/>
      <c r="J56" s="95"/>
      <c r="K56" s="95"/>
    </row>
    <row r="57" spans="1:11" ht="35" customHeight="1" x14ac:dyDescent="0.2">
      <c r="A57" s="2" t="s">
        <v>207</v>
      </c>
      <c r="B57" s="100">
        <v>46024</v>
      </c>
      <c r="C57" s="100"/>
      <c r="D57" s="100"/>
      <c r="E57" s="100"/>
      <c r="F57" s="100"/>
      <c r="G57" s="100"/>
      <c r="H57" s="100"/>
      <c r="I57" s="100"/>
      <c r="J57" s="100"/>
      <c r="K57" s="100"/>
    </row>
    <row r="58" spans="1:11" ht="35" customHeight="1" x14ac:dyDescent="0.2">
      <c r="A58" s="3" t="s">
        <v>0</v>
      </c>
      <c r="B58" s="96" t="s">
        <v>44</v>
      </c>
      <c r="C58" s="96"/>
      <c r="D58" s="96"/>
      <c r="E58" s="96"/>
      <c r="F58" s="96"/>
      <c r="G58" s="96"/>
      <c r="H58" s="96"/>
      <c r="I58" s="96"/>
      <c r="J58" s="96"/>
      <c r="K58" s="96"/>
    </row>
    <row r="59" spans="1:11" ht="35" customHeight="1" x14ac:dyDescent="0.2">
      <c r="A59" s="4" t="s">
        <v>17</v>
      </c>
      <c r="B59" s="5">
        <v>7</v>
      </c>
      <c r="C59" s="4" t="s">
        <v>49</v>
      </c>
      <c r="D59" s="5">
        <v>56</v>
      </c>
      <c r="E59" s="4" t="s">
        <v>18</v>
      </c>
      <c r="F59" s="5">
        <v>10.85</v>
      </c>
      <c r="G59" s="97" t="s">
        <v>33</v>
      </c>
      <c r="H59" s="97"/>
      <c r="I59" s="97"/>
      <c r="J59" s="97"/>
      <c r="K59" s="97"/>
    </row>
    <row r="60" spans="1:11" ht="57" customHeight="1" x14ac:dyDescent="0.2">
      <c r="A60" s="4" t="s">
        <v>19</v>
      </c>
      <c r="B60" s="5">
        <v>2.38</v>
      </c>
      <c r="C60" s="4" t="s">
        <v>35</v>
      </c>
      <c r="D60" s="5">
        <v>184.8</v>
      </c>
      <c r="E60" s="4" t="s">
        <v>36</v>
      </c>
      <c r="F60" s="5">
        <v>168</v>
      </c>
      <c r="G60" s="7" t="s">
        <v>192</v>
      </c>
      <c r="H60" s="7" t="s">
        <v>5</v>
      </c>
      <c r="I60" s="7" t="s">
        <v>6</v>
      </c>
      <c r="J60" s="7" t="s">
        <v>7</v>
      </c>
      <c r="K60" s="7" t="s">
        <v>8</v>
      </c>
    </row>
    <row r="61" spans="1:11" ht="35" customHeight="1" x14ac:dyDescent="0.2">
      <c r="A61" s="4" t="s">
        <v>58</v>
      </c>
      <c r="B61" s="5">
        <v>0</v>
      </c>
      <c r="C61" s="4" t="s">
        <v>37</v>
      </c>
      <c r="D61" s="5">
        <v>3.85</v>
      </c>
      <c r="E61" s="4" t="s">
        <v>22</v>
      </c>
      <c r="F61" s="5">
        <v>0.56000000000000005</v>
      </c>
      <c r="G61" s="95">
        <v>70</v>
      </c>
      <c r="H61" s="95">
        <v>0</v>
      </c>
      <c r="I61" s="95">
        <v>0</v>
      </c>
      <c r="J61" s="95">
        <v>0</v>
      </c>
      <c r="K61" s="95">
        <v>0</v>
      </c>
    </row>
    <row r="62" spans="1:11" ht="35" customHeight="1" x14ac:dyDescent="0.2">
      <c r="A62" s="4" t="s">
        <v>23</v>
      </c>
      <c r="B62" s="5">
        <v>0</v>
      </c>
      <c r="C62" s="4" t="s">
        <v>38</v>
      </c>
      <c r="D62" s="5">
        <v>1.47</v>
      </c>
      <c r="E62" s="4" t="s">
        <v>39</v>
      </c>
      <c r="F62" s="5">
        <v>0</v>
      </c>
      <c r="G62" s="95"/>
      <c r="H62" s="95"/>
      <c r="I62" s="95"/>
      <c r="J62" s="95"/>
      <c r="K62" s="95"/>
    </row>
    <row r="63" spans="1:11" ht="35" customHeight="1" x14ac:dyDescent="0.2">
      <c r="A63" s="4" t="s">
        <v>40</v>
      </c>
      <c r="B63" s="5">
        <v>0</v>
      </c>
      <c r="C63" s="4" t="s">
        <v>41</v>
      </c>
      <c r="D63" s="5">
        <v>0</v>
      </c>
      <c r="E63" s="4"/>
      <c r="F63" s="5">
        <v>0</v>
      </c>
      <c r="G63" s="7" t="s">
        <v>9</v>
      </c>
      <c r="H63" s="7" t="s">
        <v>10</v>
      </c>
      <c r="I63" s="7" t="s">
        <v>11</v>
      </c>
      <c r="J63" s="7" t="s">
        <v>12</v>
      </c>
      <c r="K63" s="7" t="s">
        <v>13</v>
      </c>
    </row>
    <row r="64" spans="1:11" ht="35" customHeight="1" x14ac:dyDescent="0.2">
      <c r="A64" s="9" t="s">
        <v>128</v>
      </c>
      <c r="B64" s="5">
        <v>42</v>
      </c>
      <c r="C64" s="9" t="s">
        <v>130</v>
      </c>
      <c r="D64" s="5">
        <v>6.3</v>
      </c>
      <c r="E64" s="9" t="s">
        <v>133</v>
      </c>
      <c r="F64" s="5">
        <v>0</v>
      </c>
      <c r="G64" s="95">
        <v>0</v>
      </c>
      <c r="H64" s="95">
        <v>0</v>
      </c>
      <c r="I64" s="95">
        <v>0</v>
      </c>
      <c r="J64" s="95">
        <v>0</v>
      </c>
      <c r="K64" s="95">
        <v>0</v>
      </c>
    </row>
    <row r="65" spans="1:11" ht="35" customHeight="1" x14ac:dyDescent="0.2">
      <c r="A65" s="9" t="s">
        <v>135</v>
      </c>
      <c r="B65" s="5">
        <v>0</v>
      </c>
      <c r="C65" s="9" t="s">
        <v>138</v>
      </c>
      <c r="D65" s="5">
        <v>0</v>
      </c>
      <c r="E65" s="9" t="s">
        <v>140</v>
      </c>
      <c r="F65" s="5">
        <v>0</v>
      </c>
      <c r="G65" s="95"/>
      <c r="H65" s="95"/>
      <c r="I65" s="95"/>
      <c r="J65" s="95"/>
      <c r="K65" s="95"/>
    </row>
    <row r="66" spans="1:11" ht="35" customHeight="1" x14ac:dyDescent="0.2">
      <c r="A66" s="98" t="s">
        <v>42</v>
      </c>
      <c r="B66" s="99"/>
      <c r="C66" s="99"/>
      <c r="D66" s="99"/>
      <c r="E66" s="99"/>
      <c r="F66" s="5">
        <v>275.8</v>
      </c>
      <c r="G66" s="95"/>
      <c r="H66" s="95"/>
      <c r="I66" s="95"/>
      <c r="J66" s="95"/>
      <c r="K66" s="95"/>
    </row>
    <row r="67" spans="1:11" ht="35" customHeight="1" x14ac:dyDescent="0.2">
      <c r="A67" s="3" t="s">
        <v>0</v>
      </c>
      <c r="B67" s="96" t="s">
        <v>77</v>
      </c>
      <c r="C67" s="96"/>
      <c r="D67" s="96"/>
      <c r="E67" s="96"/>
      <c r="F67" s="96"/>
      <c r="G67" s="96"/>
      <c r="H67" s="96"/>
      <c r="I67" s="96"/>
      <c r="J67" s="96"/>
      <c r="K67" s="96"/>
    </row>
    <row r="68" spans="1:11" ht="35" customHeight="1" x14ac:dyDescent="0.2">
      <c r="A68" s="4" t="s">
        <v>17</v>
      </c>
      <c r="B68" s="5">
        <v>0.49</v>
      </c>
      <c r="C68" s="4" t="s">
        <v>49</v>
      </c>
      <c r="D68" s="5">
        <v>25.795000000000002</v>
      </c>
      <c r="E68" s="4" t="s">
        <v>18</v>
      </c>
      <c r="F68" s="5">
        <v>6.65</v>
      </c>
      <c r="G68" s="97" t="s">
        <v>33</v>
      </c>
      <c r="H68" s="97"/>
      <c r="I68" s="97"/>
      <c r="J68" s="97"/>
      <c r="K68" s="97"/>
    </row>
    <row r="69" spans="1:11" ht="35" customHeight="1" x14ac:dyDescent="0.2">
      <c r="A69" s="4" t="s">
        <v>19</v>
      </c>
      <c r="B69" s="5">
        <v>0.875</v>
      </c>
      <c r="C69" s="4" t="s">
        <v>35</v>
      </c>
      <c r="D69" s="5">
        <v>115.85</v>
      </c>
      <c r="E69" s="4" t="s">
        <v>36</v>
      </c>
      <c r="F69" s="5">
        <v>0</v>
      </c>
      <c r="G69" s="7" t="s">
        <v>193</v>
      </c>
      <c r="H69" s="7" t="s">
        <v>5</v>
      </c>
      <c r="I69" s="7" t="s">
        <v>6</v>
      </c>
      <c r="J69" s="7" t="s">
        <v>7</v>
      </c>
      <c r="K69" s="7" t="s">
        <v>8</v>
      </c>
    </row>
    <row r="70" spans="1:11" ht="35" customHeight="1" x14ac:dyDescent="0.2">
      <c r="A70" s="4" t="s">
        <v>58</v>
      </c>
      <c r="B70" s="5">
        <v>0</v>
      </c>
      <c r="C70" s="4" t="s">
        <v>37</v>
      </c>
      <c r="D70" s="5">
        <v>0</v>
      </c>
      <c r="E70" s="4" t="s">
        <v>22</v>
      </c>
      <c r="F70" s="5">
        <v>0.38500000000000001</v>
      </c>
      <c r="G70" s="95">
        <v>35</v>
      </c>
      <c r="H70" s="95">
        <v>0</v>
      </c>
      <c r="I70" s="95">
        <v>0</v>
      </c>
      <c r="J70" s="95">
        <v>0</v>
      </c>
      <c r="K70" s="95">
        <v>0</v>
      </c>
    </row>
    <row r="71" spans="1:11" ht="35" customHeight="1" x14ac:dyDescent="0.2">
      <c r="A71" s="4" t="s">
        <v>23</v>
      </c>
      <c r="B71" s="5">
        <v>0</v>
      </c>
      <c r="C71" s="4" t="s">
        <v>38</v>
      </c>
      <c r="D71" s="5">
        <v>0</v>
      </c>
      <c r="E71" s="4" t="s">
        <v>39</v>
      </c>
      <c r="F71" s="5">
        <v>0</v>
      </c>
      <c r="G71" s="95"/>
      <c r="H71" s="95"/>
      <c r="I71" s="95"/>
      <c r="J71" s="95"/>
      <c r="K71" s="95"/>
    </row>
    <row r="72" spans="1:11" ht="35" customHeight="1" x14ac:dyDescent="0.2">
      <c r="A72" s="4" t="s">
        <v>40</v>
      </c>
      <c r="B72" s="5">
        <v>0</v>
      </c>
      <c r="C72" s="4" t="s">
        <v>41</v>
      </c>
      <c r="D72" s="5">
        <v>0</v>
      </c>
      <c r="E72" s="4"/>
      <c r="F72" s="5">
        <v>0</v>
      </c>
      <c r="G72" s="7" t="s">
        <v>9</v>
      </c>
      <c r="H72" s="7" t="s">
        <v>10</v>
      </c>
      <c r="I72" s="7" t="s">
        <v>11</v>
      </c>
      <c r="J72" s="7" t="s">
        <v>12</v>
      </c>
      <c r="K72" s="7" t="s">
        <v>13</v>
      </c>
    </row>
    <row r="73" spans="1:11" ht="35" customHeight="1" x14ac:dyDescent="0.2">
      <c r="A73" s="9" t="s">
        <v>128</v>
      </c>
      <c r="B73" s="5">
        <v>0</v>
      </c>
      <c r="C73" s="9" t="s">
        <v>130</v>
      </c>
      <c r="D73" s="5">
        <v>0</v>
      </c>
      <c r="E73" s="9" t="s">
        <v>133</v>
      </c>
      <c r="F73" s="5">
        <v>0</v>
      </c>
      <c r="G73" s="95">
        <v>0</v>
      </c>
      <c r="H73" s="95">
        <v>0</v>
      </c>
      <c r="I73" s="95">
        <v>0</v>
      </c>
      <c r="J73" s="95">
        <v>0</v>
      </c>
      <c r="K73" s="95">
        <v>0</v>
      </c>
    </row>
    <row r="74" spans="1:11" ht="35" customHeight="1" x14ac:dyDescent="0.2">
      <c r="A74" s="9" t="s">
        <v>135</v>
      </c>
      <c r="B74" s="5">
        <v>0</v>
      </c>
      <c r="C74" s="9" t="s">
        <v>138</v>
      </c>
      <c r="D74" s="5">
        <v>0</v>
      </c>
      <c r="E74" s="9" t="s">
        <v>140</v>
      </c>
      <c r="F74" s="5">
        <v>0</v>
      </c>
      <c r="G74" s="95"/>
      <c r="H74" s="95"/>
      <c r="I74" s="95"/>
      <c r="J74" s="95"/>
      <c r="K74" s="95"/>
    </row>
    <row r="75" spans="1:11" ht="35" customHeight="1" x14ac:dyDescent="0.2">
      <c r="A75" s="98" t="s">
        <v>42</v>
      </c>
      <c r="B75" s="99"/>
      <c r="C75" s="99"/>
      <c r="D75" s="99"/>
      <c r="E75" s="99"/>
      <c r="F75" s="5">
        <v>156.44999999999999</v>
      </c>
      <c r="G75" s="95"/>
      <c r="H75" s="95"/>
      <c r="I75" s="95"/>
      <c r="J75" s="95"/>
      <c r="K75" s="95"/>
    </row>
    <row r="76" spans="1:11" ht="35" customHeight="1" x14ac:dyDescent="0.2">
      <c r="A76" s="3" t="s">
        <v>0</v>
      </c>
      <c r="B76" s="96" t="s">
        <v>43</v>
      </c>
      <c r="C76" s="96"/>
      <c r="D76" s="96"/>
      <c r="E76" s="96"/>
      <c r="F76" s="96"/>
      <c r="G76" s="96"/>
      <c r="H76" s="96"/>
      <c r="I76" s="96"/>
      <c r="J76" s="96"/>
      <c r="K76" s="96"/>
    </row>
    <row r="77" spans="1:11" ht="35" customHeight="1" x14ac:dyDescent="0.2">
      <c r="A77" s="4" t="s">
        <v>17</v>
      </c>
      <c r="B77" s="5">
        <v>27.06</v>
      </c>
      <c r="C77" s="4" t="s">
        <v>49</v>
      </c>
      <c r="D77" s="5">
        <v>83.066999999999993</v>
      </c>
      <c r="E77" s="4" t="s">
        <v>18</v>
      </c>
      <c r="F77" s="5">
        <v>0.42899999999999999</v>
      </c>
      <c r="G77" s="97" t="s">
        <v>33</v>
      </c>
      <c r="H77" s="97"/>
      <c r="I77" s="97"/>
      <c r="J77" s="97"/>
      <c r="K77" s="97"/>
    </row>
    <row r="78" spans="1:11" ht="51" customHeight="1" x14ac:dyDescent="0.2">
      <c r="A78" s="4" t="s">
        <v>19</v>
      </c>
      <c r="B78" s="5">
        <v>1.32</v>
      </c>
      <c r="C78" s="4" t="s">
        <v>35</v>
      </c>
      <c r="D78" s="5">
        <v>83.9</v>
      </c>
      <c r="E78" s="4" t="s">
        <v>36</v>
      </c>
      <c r="F78" s="5">
        <v>119.20000000000002</v>
      </c>
      <c r="G78" s="7" t="s">
        <v>194</v>
      </c>
      <c r="H78" s="7" t="s">
        <v>195</v>
      </c>
      <c r="I78" s="7" t="s">
        <v>196</v>
      </c>
      <c r="J78" s="7" t="s">
        <v>7</v>
      </c>
      <c r="K78" s="7" t="s">
        <v>8</v>
      </c>
    </row>
    <row r="79" spans="1:11" ht="35" customHeight="1" x14ac:dyDescent="0.2">
      <c r="A79" s="4" t="s">
        <v>58</v>
      </c>
      <c r="B79" s="5">
        <v>74.8</v>
      </c>
      <c r="C79" s="4" t="s">
        <v>37</v>
      </c>
      <c r="D79" s="5">
        <v>2.7199999999999998</v>
      </c>
      <c r="E79" s="4" t="s">
        <v>22</v>
      </c>
      <c r="F79" s="5">
        <v>0.32120000000000004</v>
      </c>
      <c r="G79" s="95">
        <v>110</v>
      </c>
      <c r="H79" s="95">
        <v>110</v>
      </c>
      <c r="I79" s="95">
        <v>320</v>
      </c>
      <c r="J79" s="95">
        <v>0</v>
      </c>
      <c r="K79" s="95">
        <v>0</v>
      </c>
    </row>
    <row r="80" spans="1:11" ht="35" customHeight="1" x14ac:dyDescent="0.2">
      <c r="A80" s="4" t="s">
        <v>23</v>
      </c>
      <c r="B80" s="5">
        <v>4.1580000000000002E-3</v>
      </c>
      <c r="C80" s="4" t="s">
        <v>38</v>
      </c>
      <c r="D80" s="5">
        <v>4.4459999999999997</v>
      </c>
      <c r="E80" s="4" t="s">
        <v>39</v>
      </c>
      <c r="F80" s="5">
        <v>3.5160000000000005</v>
      </c>
      <c r="G80" s="95"/>
      <c r="H80" s="95"/>
      <c r="I80" s="95"/>
      <c r="J80" s="95"/>
      <c r="K80" s="95"/>
    </row>
    <row r="81" spans="1:11" ht="35" customHeight="1" x14ac:dyDescent="0.2">
      <c r="A81" s="4" t="s">
        <v>40</v>
      </c>
      <c r="B81" s="5">
        <v>82.1</v>
      </c>
      <c r="C81" s="4" t="s">
        <v>41</v>
      </c>
      <c r="D81" s="5">
        <v>778</v>
      </c>
      <c r="E81" s="4"/>
      <c r="F81" s="5">
        <v>0</v>
      </c>
      <c r="G81" s="7" t="s">
        <v>9</v>
      </c>
      <c r="H81" s="7" t="s">
        <v>10</v>
      </c>
      <c r="I81" s="7" t="s">
        <v>11</v>
      </c>
      <c r="J81" s="7" t="s">
        <v>12</v>
      </c>
      <c r="K81" s="7" t="s">
        <v>13</v>
      </c>
    </row>
    <row r="82" spans="1:11" ht="35" customHeight="1" x14ac:dyDescent="0.2">
      <c r="A82" s="9" t="s">
        <v>128</v>
      </c>
      <c r="B82" s="5">
        <v>0</v>
      </c>
      <c r="C82" s="9" t="s">
        <v>130</v>
      </c>
      <c r="D82" s="5">
        <v>0</v>
      </c>
      <c r="E82" s="9" t="s">
        <v>133</v>
      </c>
      <c r="F82" s="5">
        <v>0</v>
      </c>
      <c r="G82" s="95">
        <v>0</v>
      </c>
      <c r="H82" s="95">
        <v>0</v>
      </c>
      <c r="I82" s="95">
        <v>0</v>
      </c>
      <c r="J82" s="95">
        <v>0</v>
      </c>
      <c r="K82" s="95">
        <v>0</v>
      </c>
    </row>
    <row r="83" spans="1:11" ht="35" customHeight="1" x14ac:dyDescent="0.2">
      <c r="A83" s="9" t="s">
        <v>135</v>
      </c>
      <c r="B83" s="5">
        <v>0</v>
      </c>
      <c r="C83" s="9" t="s">
        <v>138</v>
      </c>
      <c r="D83" s="5">
        <v>0</v>
      </c>
      <c r="E83" s="9" t="s">
        <v>140</v>
      </c>
      <c r="F83" s="5">
        <v>0</v>
      </c>
      <c r="G83" s="95"/>
      <c r="H83" s="95"/>
      <c r="I83" s="95"/>
      <c r="J83" s="95"/>
      <c r="K83" s="95"/>
    </row>
    <row r="84" spans="1:11" ht="35" customHeight="1" x14ac:dyDescent="0.2">
      <c r="A84" s="98" t="s">
        <v>42</v>
      </c>
      <c r="B84" s="99"/>
      <c r="C84" s="99"/>
      <c r="D84" s="99"/>
      <c r="E84" s="99"/>
      <c r="F84" s="5">
        <v>493.29999999999995</v>
      </c>
      <c r="G84" s="95"/>
      <c r="H84" s="95"/>
      <c r="I84" s="95"/>
      <c r="J84" s="95"/>
      <c r="K84" s="95"/>
    </row>
    <row r="85" spans="1:11" ht="35" customHeight="1" x14ac:dyDescent="0.2">
      <c r="A85" s="3" t="s">
        <v>0</v>
      </c>
      <c r="B85" s="96" t="s">
        <v>82</v>
      </c>
      <c r="C85" s="96"/>
      <c r="D85" s="96"/>
      <c r="E85" s="96"/>
      <c r="F85" s="96"/>
      <c r="G85" s="96"/>
      <c r="H85" s="96"/>
      <c r="I85" s="96"/>
      <c r="J85" s="96"/>
      <c r="K85" s="96"/>
    </row>
    <row r="86" spans="1:11" ht="35" customHeight="1" x14ac:dyDescent="0.2">
      <c r="A86" s="4" t="s">
        <v>17</v>
      </c>
      <c r="B86" s="5">
        <v>0.78400000000000003</v>
      </c>
      <c r="C86" s="4" t="s">
        <v>49</v>
      </c>
      <c r="D86" s="5">
        <v>44.6</v>
      </c>
      <c r="E86" s="4" t="s">
        <v>18</v>
      </c>
      <c r="F86" s="5">
        <v>7.6</v>
      </c>
      <c r="G86" s="97" t="s">
        <v>33</v>
      </c>
      <c r="H86" s="97"/>
      <c r="I86" s="97"/>
      <c r="J86" s="97"/>
      <c r="K86" s="97"/>
    </row>
    <row r="87" spans="1:11" ht="35" customHeight="1" x14ac:dyDescent="0.2">
      <c r="A87" s="4" t="s">
        <v>19</v>
      </c>
      <c r="B87" s="5">
        <v>1.224</v>
      </c>
      <c r="C87" s="4" t="s">
        <v>35</v>
      </c>
      <c r="D87" s="5">
        <v>134.19200000000001</v>
      </c>
      <c r="E87" s="4" t="s">
        <v>36</v>
      </c>
      <c r="F87" s="5">
        <v>4.4800000000000004</v>
      </c>
      <c r="G87" s="7" t="s">
        <v>193</v>
      </c>
      <c r="H87" s="7" t="s">
        <v>197</v>
      </c>
      <c r="I87" s="7" t="s">
        <v>6</v>
      </c>
      <c r="J87" s="7" t="s">
        <v>7</v>
      </c>
      <c r="K87" s="7" t="s">
        <v>8</v>
      </c>
    </row>
    <row r="88" spans="1:11" ht="35" customHeight="1" x14ac:dyDescent="0.2">
      <c r="A88" s="4" t="s">
        <v>58</v>
      </c>
      <c r="B88" s="5">
        <v>0</v>
      </c>
      <c r="C88" s="4" t="s">
        <v>37</v>
      </c>
      <c r="D88" s="5">
        <v>1.3440000000000001</v>
      </c>
      <c r="E88" s="4" t="s">
        <v>22</v>
      </c>
      <c r="F88" s="5">
        <v>0.44</v>
      </c>
      <c r="G88" s="95">
        <v>40</v>
      </c>
      <c r="H88" s="95">
        <v>112</v>
      </c>
      <c r="I88" s="95">
        <v>0</v>
      </c>
      <c r="J88" s="95">
        <v>0</v>
      </c>
      <c r="K88" s="95">
        <v>0</v>
      </c>
    </row>
    <row r="89" spans="1:11" ht="35" customHeight="1" x14ac:dyDescent="0.2">
      <c r="A89" s="4" t="s">
        <v>23</v>
      </c>
      <c r="B89" s="5">
        <v>0</v>
      </c>
      <c r="C89" s="4" t="s">
        <v>38</v>
      </c>
      <c r="D89" s="5">
        <v>0.67200000000000004</v>
      </c>
      <c r="E89" s="4" t="s">
        <v>39</v>
      </c>
      <c r="F89" s="5">
        <v>0.21280000000000002</v>
      </c>
      <c r="G89" s="95"/>
      <c r="H89" s="95"/>
      <c r="I89" s="95"/>
      <c r="J89" s="95"/>
      <c r="K89" s="95"/>
    </row>
    <row r="90" spans="1:11" ht="35" customHeight="1" x14ac:dyDescent="0.2">
      <c r="A90" s="4" t="s">
        <v>40</v>
      </c>
      <c r="B90" s="5">
        <v>4.4800000000000004</v>
      </c>
      <c r="C90" s="4" t="s">
        <v>41</v>
      </c>
      <c r="D90" s="5">
        <v>133.28</v>
      </c>
      <c r="E90" s="4"/>
      <c r="F90" s="5">
        <v>0</v>
      </c>
      <c r="G90" s="7" t="s">
        <v>9</v>
      </c>
      <c r="H90" s="7" t="s">
        <v>10</v>
      </c>
      <c r="I90" s="7" t="s">
        <v>11</v>
      </c>
      <c r="J90" s="7" t="s">
        <v>12</v>
      </c>
      <c r="K90" s="7" t="s">
        <v>13</v>
      </c>
    </row>
    <row r="91" spans="1:11" ht="35" customHeight="1" x14ac:dyDescent="0.2">
      <c r="A91" s="9" t="s">
        <v>128</v>
      </c>
      <c r="B91" s="5">
        <v>0</v>
      </c>
      <c r="C91" s="9" t="s">
        <v>130</v>
      </c>
      <c r="D91" s="5">
        <v>0</v>
      </c>
      <c r="E91" s="9" t="s">
        <v>133</v>
      </c>
      <c r="F91" s="5">
        <v>0</v>
      </c>
      <c r="G91" s="95">
        <v>0</v>
      </c>
      <c r="H91" s="95">
        <v>0</v>
      </c>
      <c r="I91" s="95">
        <v>0</v>
      </c>
      <c r="J91" s="95">
        <v>0</v>
      </c>
      <c r="K91" s="95">
        <v>0</v>
      </c>
    </row>
    <row r="92" spans="1:11" ht="35" customHeight="1" x14ac:dyDescent="0.2">
      <c r="A92" s="9" t="s">
        <v>135</v>
      </c>
      <c r="B92" s="5">
        <v>0</v>
      </c>
      <c r="C92" s="9" t="s">
        <v>138</v>
      </c>
      <c r="D92" s="5">
        <v>0</v>
      </c>
      <c r="E92" s="9" t="s">
        <v>140</v>
      </c>
      <c r="F92" s="5">
        <v>0</v>
      </c>
      <c r="G92" s="95"/>
      <c r="H92" s="95"/>
      <c r="I92" s="95"/>
      <c r="J92" s="95"/>
      <c r="K92" s="95"/>
    </row>
    <row r="93" spans="1:11" ht="35" customHeight="1" x14ac:dyDescent="0.2">
      <c r="A93" s="98" t="s">
        <v>42</v>
      </c>
      <c r="B93" s="99"/>
      <c r="C93" s="99"/>
      <c r="D93" s="99"/>
      <c r="E93" s="99"/>
      <c r="F93" s="5">
        <v>239.28</v>
      </c>
      <c r="G93" s="95"/>
      <c r="H93" s="95"/>
      <c r="I93" s="95"/>
      <c r="J93" s="95"/>
      <c r="K93" s="95"/>
    </row>
    <row r="94" spans="1:11" ht="35" customHeight="1" x14ac:dyDescent="0.2">
      <c r="A94" s="3" t="s">
        <v>0</v>
      </c>
      <c r="B94" s="96" t="s">
        <v>84</v>
      </c>
      <c r="C94" s="96"/>
      <c r="D94" s="96"/>
      <c r="E94" s="96"/>
      <c r="F94" s="96"/>
      <c r="G94" s="96"/>
      <c r="H94" s="96"/>
      <c r="I94" s="96"/>
      <c r="J94" s="96"/>
      <c r="K94" s="96"/>
    </row>
    <row r="95" spans="1:11" ht="35" customHeight="1" x14ac:dyDescent="0.2">
      <c r="A95" s="4" t="s">
        <v>17</v>
      </c>
      <c r="B95" s="5">
        <v>29.82</v>
      </c>
      <c r="C95" s="4" t="s">
        <v>49</v>
      </c>
      <c r="D95" s="5">
        <v>80.791500000000013</v>
      </c>
      <c r="E95" s="4" t="s">
        <v>18</v>
      </c>
      <c r="F95" s="5">
        <v>1.1505000000000001</v>
      </c>
      <c r="G95" s="97" t="s">
        <v>33</v>
      </c>
      <c r="H95" s="97"/>
      <c r="I95" s="97"/>
      <c r="J95" s="97"/>
      <c r="K95" s="97"/>
    </row>
    <row r="96" spans="1:11" ht="53" customHeight="1" x14ac:dyDescent="0.2">
      <c r="A96" s="4" t="s">
        <v>19</v>
      </c>
      <c r="B96" s="5">
        <v>2.02</v>
      </c>
      <c r="C96" s="4" t="s">
        <v>35</v>
      </c>
      <c r="D96" s="5">
        <v>120.1</v>
      </c>
      <c r="E96" s="4" t="s">
        <v>36</v>
      </c>
      <c r="F96" s="5">
        <v>273.7</v>
      </c>
      <c r="G96" s="7" t="s">
        <v>194</v>
      </c>
      <c r="H96" s="7" t="s">
        <v>195</v>
      </c>
      <c r="I96" s="7" t="s">
        <v>196</v>
      </c>
      <c r="J96" s="7" t="s">
        <v>7</v>
      </c>
      <c r="K96" s="7" t="s">
        <v>8</v>
      </c>
    </row>
    <row r="97" spans="1:11" ht="35" customHeight="1" x14ac:dyDescent="0.2">
      <c r="A97" s="4" t="s">
        <v>58</v>
      </c>
      <c r="B97" s="5">
        <v>71.400000000000006</v>
      </c>
      <c r="C97" s="4" t="s">
        <v>37</v>
      </c>
      <c r="D97" s="5">
        <v>5.6499999999999995</v>
      </c>
      <c r="E97" s="4" t="s">
        <v>22</v>
      </c>
      <c r="F97" s="5">
        <v>0.38640000000000002</v>
      </c>
      <c r="G97" s="95">
        <v>105</v>
      </c>
      <c r="H97" s="95">
        <v>295</v>
      </c>
      <c r="I97" s="95">
        <v>310</v>
      </c>
      <c r="J97" s="95">
        <v>0</v>
      </c>
      <c r="K97" s="95">
        <v>0</v>
      </c>
    </row>
    <row r="98" spans="1:11" ht="35" customHeight="1" x14ac:dyDescent="0.2">
      <c r="A98" s="4" t="s">
        <v>23</v>
      </c>
      <c r="B98" s="5">
        <v>3.9689999999999994E-3</v>
      </c>
      <c r="C98" s="4" t="s">
        <v>38</v>
      </c>
      <c r="D98" s="5">
        <v>4.3029999999999999</v>
      </c>
      <c r="E98" s="4" t="s">
        <v>39</v>
      </c>
      <c r="F98" s="5">
        <v>3.3979999999999997</v>
      </c>
      <c r="G98" s="95"/>
      <c r="H98" s="95"/>
      <c r="I98" s="95"/>
      <c r="J98" s="95"/>
      <c r="K98" s="95"/>
    </row>
    <row r="99" spans="1:11" ht="35" customHeight="1" x14ac:dyDescent="0.2">
      <c r="A99" s="4" t="s">
        <v>40</v>
      </c>
      <c r="B99" s="5">
        <v>79.05</v>
      </c>
      <c r="C99" s="4" t="s">
        <v>41</v>
      </c>
      <c r="D99" s="5">
        <v>1181</v>
      </c>
      <c r="E99" s="4"/>
      <c r="F99" s="5">
        <v>0</v>
      </c>
      <c r="G99" s="7" t="s">
        <v>9</v>
      </c>
      <c r="H99" s="7" t="s">
        <v>10</v>
      </c>
      <c r="I99" s="7" t="s">
        <v>11</v>
      </c>
      <c r="J99" s="7" t="s">
        <v>12</v>
      </c>
      <c r="K99" s="7" t="s">
        <v>13</v>
      </c>
    </row>
    <row r="100" spans="1:11" ht="35" customHeight="1" x14ac:dyDescent="0.2">
      <c r="A100" s="9" t="s">
        <v>128</v>
      </c>
      <c r="B100" s="5">
        <v>0</v>
      </c>
      <c r="C100" s="9" t="s">
        <v>130</v>
      </c>
      <c r="D100" s="5">
        <v>0</v>
      </c>
      <c r="E100" s="9" t="s">
        <v>133</v>
      </c>
      <c r="F100" s="5">
        <v>0</v>
      </c>
      <c r="G100" s="95">
        <v>0</v>
      </c>
      <c r="H100" s="95">
        <v>0</v>
      </c>
      <c r="I100" s="95">
        <v>0</v>
      </c>
      <c r="J100" s="95">
        <v>0</v>
      </c>
      <c r="K100" s="95">
        <v>0</v>
      </c>
    </row>
    <row r="101" spans="1:11" ht="35" customHeight="1" x14ac:dyDescent="0.2">
      <c r="A101" s="9" t="s">
        <v>135</v>
      </c>
      <c r="B101" s="5">
        <v>0</v>
      </c>
      <c r="C101" s="9" t="s">
        <v>138</v>
      </c>
      <c r="D101" s="5">
        <v>0</v>
      </c>
      <c r="E101" s="9" t="s">
        <v>140</v>
      </c>
      <c r="F101" s="5">
        <v>0</v>
      </c>
      <c r="G101" s="95"/>
      <c r="H101" s="95"/>
      <c r="I101" s="95"/>
      <c r="J101" s="95"/>
      <c r="K101" s="95"/>
    </row>
    <row r="102" spans="1:11" ht="35" customHeight="1" x14ac:dyDescent="0.2">
      <c r="A102" s="98" t="s">
        <v>42</v>
      </c>
      <c r="B102" s="99"/>
      <c r="C102" s="99"/>
      <c r="D102" s="99"/>
      <c r="E102" s="99"/>
      <c r="F102" s="5">
        <v>500.85</v>
      </c>
      <c r="G102" s="95"/>
      <c r="H102" s="95"/>
      <c r="I102" s="95"/>
      <c r="J102" s="95"/>
      <c r="K102" s="95"/>
    </row>
    <row r="103" spans="1:11" ht="35" customHeight="1" x14ac:dyDescent="0.2">
      <c r="A103" s="3" t="s">
        <v>0</v>
      </c>
      <c r="B103" s="96" t="s">
        <v>85</v>
      </c>
      <c r="C103" s="96"/>
      <c r="D103" s="96"/>
      <c r="E103" s="96"/>
      <c r="F103" s="96"/>
      <c r="G103" s="96"/>
      <c r="H103" s="96"/>
      <c r="I103" s="96"/>
      <c r="J103" s="96"/>
      <c r="K103" s="96"/>
    </row>
    <row r="104" spans="1:11" ht="35" customHeight="1" x14ac:dyDescent="0.2">
      <c r="A104" s="4" t="s">
        <v>17</v>
      </c>
      <c r="B104" s="5">
        <v>7.3460000000000001</v>
      </c>
      <c r="C104" s="4" t="s">
        <v>49</v>
      </c>
      <c r="D104" s="5">
        <v>31.645000000000003</v>
      </c>
      <c r="E104" s="4" t="s">
        <v>18</v>
      </c>
      <c r="F104" s="5">
        <v>11.468</v>
      </c>
      <c r="G104" s="97" t="s">
        <v>33</v>
      </c>
      <c r="H104" s="97"/>
      <c r="I104" s="97"/>
      <c r="J104" s="97"/>
      <c r="K104" s="97"/>
    </row>
    <row r="105" spans="1:11" ht="35" customHeight="1" x14ac:dyDescent="0.2">
      <c r="A105" s="4" t="s">
        <v>19</v>
      </c>
      <c r="B105" s="5">
        <v>0.51400000000000001</v>
      </c>
      <c r="C105" s="4" t="s">
        <v>35</v>
      </c>
      <c r="D105" s="5">
        <v>94.88</v>
      </c>
      <c r="E105" s="4" t="s">
        <v>36</v>
      </c>
      <c r="F105" s="5">
        <v>286</v>
      </c>
      <c r="G105" s="7" t="s">
        <v>198</v>
      </c>
      <c r="H105" s="7" t="s">
        <v>197</v>
      </c>
      <c r="I105" s="7" t="s">
        <v>6</v>
      </c>
      <c r="J105" s="7" t="s">
        <v>7</v>
      </c>
      <c r="K105" s="7" t="s">
        <v>8</v>
      </c>
    </row>
    <row r="106" spans="1:11" ht="35" customHeight="1" x14ac:dyDescent="0.2">
      <c r="A106" s="4" t="s">
        <v>58</v>
      </c>
      <c r="B106" s="5">
        <v>7.32</v>
      </c>
      <c r="C106" s="4" t="s">
        <v>37</v>
      </c>
      <c r="D106" s="5">
        <v>1.62</v>
      </c>
      <c r="E106" s="4" t="s">
        <v>22</v>
      </c>
      <c r="F106" s="5">
        <v>0</v>
      </c>
      <c r="G106" s="95">
        <v>244</v>
      </c>
      <c r="H106" s="95">
        <v>135</v>
      </c>
      <c r="I106" s="95">
        <v>0</v>
      </c>
      <c r="J106" s="95">
        <v>0</v>
      </c>
      <c r="K106" s="95">
        <v>0</v>
      </c>
    </row>
    <row r="107" spans="1:11" ht="35" customHeight="1" x14ac:dyDescent="0.2">
      <c r="A107" s="4" t="s">
        <v>23</v>
      </c>
      <c r="B107" s="5">
        <v>0</v>
      </c>
      <c r="C107" s="4" t="s">
        <v>38</v>
      </c>
      <c r="D107" s="5">
        <v>0.81</v>
      </c>
      <c r="E107" s="4" t="s">
        <v>39</v>
      </c>
      <c r="F107" s="5">
        <v>0.25650000000000001</v>
      </c>
      <c r="G107" s="95"/>
      <c r="H107" s="95"/>
      <c r="I107" s="95"/>
      <c r="J107" s="95"/>
      <c r="K107" s="95"/>
    </row>
    <row r="108" spans="1:11" ht="35" customHeight="1" x14ac:dyDescent="0.2">
      <c r="A108" s="4" t="s">
        <v>40</v>
      </c>
      <c r="B108" s="5">
        <v>5.4</v>
      </c>
      <c r="C108" s="4" t="s">
        <v>41</v>
      </c>
      <c r="D108" s="5">
        <v>160.65</v>
      </c>
      <c r="E108" s="4"/>
      <c r="F108" s="5">
        <v>0</v>
      </c>
      <c r="G108" s="7" t="s">
        <v>9</v>
      </c>
      <c r="H108" s="7" t="s">
        <v>10</v>
      </c>
      <c r="I108" s="7" t="s">
        <v>11</v>
      </c>
      <c r="J108" s="7" t="s">
        <v>12</v>
      </c>
      <c r="K108" s="7" t="s">
        <v>13</v>
      </c>
    </row>
    <row r="109" spans="1:11" ht="35" customHeight="1" x14ac:dyDescent="0.2">
      <c r="A109" s="9" t="s">
        <v>128</v>
      </c>
      <c r="B109" s="5">
        <v>0</v>
      </c>
      <c r="C109" s="9" t="s">
        <v>130</v>
      </c>
      <c r="D109" s="5">
        <v>0</v>
      </c>
      <c r="E109" s="9" t="s">
        <v>133</v>
      </c>
      <c r="F109" s="5">
        <v>0</v>
      </c>
      <c r="G109" s="95">
        <v>0</v>
      </c>
      <c r="H109" s="95">
        <v>0</v>
      </c>
      <c r="I109" s="95">
        <v>0</v>
      </c>
      <c r="J109" s="95">
        <v>0</v>
      </c>
      <c r="K109" s="95">
        <v>0</v>
      </c>
    </row>
    <row r="110" spans="1:11" ht="35" customHeight="1" x14ac:dyDescent="0.2">
      <c r="A110" s="9" t="s">
        <v>135</v>
      </c>
      <c r="B110" s="5">
        <v>0</v>
      </c>
      <c r="C110" s="9" t="s">
        <v>138</v>
      </c>
      <c r="D110" s="5">
        <v>0</v>
      </c>
      <c r="E110" s="9" t="s">
        <v>140</v>
      </c>
      <c r="F110" s="5">
        <v>0</v>
      </c>
      <c r="G110" s="95"/>
      <c r="H110" s="95"/>
      <c r="I110" s="95"/>
      <c r="J110" s="95"/>
      <c r="K110" s="95"/>
    </row>
    <row r="111" spans="1:11" ht="35" customHeight="1" x14ac:dyDescent="0.2">
      <c r="A111" s="98" t="s">
        <v>42</v>
      </c>
      <c r="B111" s="99"/>
      <c r="C111" s="99"/>
      <c r="D111" s="99"/>
      <c r="E111" s="99"/>
      <c r="F111" s="5">
        <v>158.30000000000001</v>
      </c>
      <c r="G111" s="95"/>
      <c r="H111" s="95"/>
      <c r="I111" s="95"/>
      <c r="J111" s="95"/>
      <c r="K111" s="95"/>
    </row>
  </sheetData>
  <mergeCells count="159">
    <mergeCell ref="B85:K85"/>
    <mergeCell ref="G86:K86"/>
    <mergeCell ref="G88:G89"/>
    <mergeCell ref="H88:H89"/>
    <mergeCell ref="I88:I89"/>
    <mergeCell ref="J88:J89"/>
    <mergeCell ref="K88:K89"/>
    <mergeCell ref="G91:G93"/>
    <mergeCell ref="H91:H93"/>
    <mergeCell ref="I91:I93"/>
    <mergeCell ref="J91:J93"/>
    <mergeCell ref="K91:K93"/>
    <mergeCell ref="A75:E75"/>
    <mergeCell ref="B76:K76"/>
    <mergeCell ref="G77:K77"/>
    <mergeCell ref="G79:G80"/>
    <mergeCell ref="H79:H80"/>
    <mergeCell ref="G82:G84"/>
    <mergeCell ref="H82:H84"/>
    <mergeCell ref="I82:I84"/>
    <mergeCell ref="J82:J84"/>
    <mergeCell ref="K82:K84"/>
    <mergeCell ref="A84:E84"/>
    <mergeCell ref="G109:G111"/>
    <mergeCell ref="H109:H111"/>
    <mergeCell ref="I109:I111"/>
    <mergeCell ref="J109:J111"/>
    <mergeCell ref="K109:K111"/>
    <mergeCell ref="A111:E111"/>
    <mergeCell ref="G100:G102"/>
    <mergeCell ref="H100:H102"/>
    <mergeCell ref="I100:I102"/>
    <mergeCell ref="J100:J102"/>
    <mergeCell ref="K100:K102"/>
    <mergeCell ref="A102:E102"/>
    <mergeCell ref="B103:K103"/>
    <mergeCell ref="G104:K104"/>
    <mergeCell ref="G106:G107"/>
    <mergeCell ref="H106:H107"/>
    <mergeCell ref="I106:I107"/>
    <mergeCell ref="J106:J107"/>
    <mergeCell ref="K106:K107"/>
    <mergeCell ref="B2:K2"/>
    <mergeCell ref="B3:K3"/>
    <mergeCell ref="G4:K4"/>
    <mergeCell ref="G6:G7"/>
    <mergeCell ref="H6:H7"/>
    <mergeCell ref="I6:I7"/>
    <mergeCell ref="J6:J7"/>
    <mergeCell ref="K6:K7"/>
    <mergeCell ref="J1:K1"/>
    <mergeCell ref="G9:G11"/>
    <mergeCell ref="H9:H11"/>
    <mergeCell ref="I9:I11"/>
    <mergeCell ref="J9:J11"/>
    <mergeCell ref="K9:K11"/>
    <mergeCell ref="A11:E11"/>
    <mergeCell ref="B12:K12"/>
    <mergeCell ref="G13:K13"/>
    <mergeCell ref="G15:G16"/>
    <mergeCell ref="A20:E20"/>
    <mergeCell ref="B21:K21"/>
    <mergeCell ref="G22:K22"/>
    <mergeCell ref="G24:G25"/>
    <mergeCell ref="H24:H25"/>
    <mergeCell ref="I24:I25"/>
    <mergeCell ref="J24:J25"/>
    <mergeCell ref="K24:K25"/>
    <mergeCell ref="H15:H16"/>
    <mergeCell ref="I15:I16"/>
    <mergeCell ref="J15:J16"/>
    <mergeCell ref="K15:K16"/>
    <mergeCell ref="G18:G20"/>
    <mergeCell ref="H18:H20"/>
    <mergeCell ref="I18:I20"/>
    <mergeCell ref="J18:J20"/>
    <mergeCell ref="K18:K20"/>
    <mergeCell ref="A29:E29"/>
    <mergeCell ref="B30:K30"/>
    <mergeCell ref="G31:K31"/>
    <mergeCell ref="G33:G34"/>
    <mergeCell ref="H33:H34"/>
    <mergeCell ref="I33:I34"/>
    <mergeCell ref="J33:J34"/>
    <mergeCell ref="K33:K34"/>
    <mergeCell ref="G27:G29"/>
    <mergeCell ref="H27:H29"/>
    <mergeCell ref="I27:I29"/>
    <mergeCell ref="J27:J29"/>
    <mergeCell ref="K27:K29"/>
    <mergeCell ref="B58:K58"/>
    <mergeCell ref="G59:K59"/>
    <mergeCell ref="A47:E47"/>
    <mergeCell ref="G45:G47"/>
    <mergeCell ref="H45:H47"/>
    <mergeCell ref="I45:I47"/>
    <mergeCell ref="J45:J47"/>
    <mergeCell ref="K45:K47"/>
    <mergeCell ref="A38:E38"/>
    <mergeCell ref="B39:K39"/>
    <mergeCell ref="G40:K40"/>
    <mergeCell ref="G42:G43"/>
    <mergeCell ref="H42:H43"/>
    <mergeCell ref="I42:I43"/>
    <mergeCell ref="J42:J43"/>
    <mergeCell ref="K42:K43"/>
    <mergeCell ref="G36:G38"/>
    <mergeCell ref="H36:H38"/>
    <mergeCell ref="I36:I38"/>
    <mergeCell ref="J36:J38"/>
    <mergeCell ref="K36:K38"/>
    <mergeCell ref="A56:E56"/>
    <mergeCell ref="G49:K49"/>
    <mergeCell ref="G51:G52"/>
    <mergeCell ref="H51:H52"/>
    <mergeCell ref="I51:I52"/>
    <mergeCell ref="J51:J52"/>
    <mergeCell ref="K51:K52"/>
    <mergeCell ref="G54:G56"/>
    <mergeCell ref="H54:H56"/>
    <mergeCell ref="I54:I56"/>
    <mergeCell ref="J54:J56"/>
    <mergeCell ref="K54:K56"/>
    <mergeCell ref="K79:K80"/>
    <mergeCell ref="G70:G71"/>
    <mergeCell ref="H70:H71"/>
    <mergeCell ref="I70:I71"/>
    <mergeCell ref="J70:J71"/>
    <mergeCell ref="K70:K71"/>
    <mergeCell ref="G61:G62"/>
    <mergeCell ref="H61:H62"/>
    <mergeCell ref="I61:I62"/>
    <mergeCell ref="J61:J62"/>
    <mergeCell ref="K61:K62"/>
    <mergeCell ref="B48:K48"/>
    <mergeCell ref="B94:K94"/>
    <mergeCell ref="G95:K95"/>
    <mergeCell ref="G97:G98"/>
    <mergeCell ref="H97:H98"/>
    <mergeCell ref="I97:I98"/>
    <mergeCell ref="J97:J98"/>
    <mergeCell ref="K97:K98"/>
    <mergeCell ref="B57:K57"/>
    <mergeCell ref="G64:G66"/>
    <mergeCell ref="H64:H66"/>
    <mergeCell ref="I64:I66"/>
    <mergeCell ref="J64:J66"/>
    <mergeCell ref="K64:K66"/>
    <mergeCell ref="A66:E66"/>
    <mergeCell ref="B67:K67"/>
    <mergeCell ref="G68:K68"/>
    <mergeCell ref="G73:G75"/>
    <mergeCell ref="H73:H75"/>
    <mergeCell ref="I73:I75"/>
    <mergeCell ref="J73:J75"/>
    <mergeCell ref="K73:K75"/>
    <mergeCell ref="A93:E93"/>
    <mergeCell ref="I79:I80"/>
    <mergeCell ref="J79:J80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DCC64-457E-453F-8CCD-90B22E6063DD}">
  <sheetPr codeName="Sheet71"/>
  <dimension ref="A1:H280"/>
  <sheetViews>
    <sheetView zoomScaleNormal="100" workbookViewId="0">
      <pane ySplit="1" topLeftCell="A2" activePane="bottomLeft" state="frozen"/>
      <selection pane="bottomLeft" activeCell="B2" sqref="B2:F2"/>
    </sheetView>
  </sheetViews>
  <sheetFormatPr baseColWidth="10" defaultColWidth="19.83203125" defaultRowHeight="35" customHeight="1" x14ac:dyDescent="0.15"/>
  <cols>
    <col min="1" max="1" width="25.6640625" style="1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28.5" style="11" bestFit="1" customWidth="1"/>
    <col min="9" max="16384" width="19.83203125" style="11"/>
  </cols>
  <sheetData>
    <row r="1" spans="1:8" ht="50" customHeight="1" x14ac:dyDescent="0.15">
      <c r="A1" s="59" t="s">
        <v>93</v>
      </c>
      <c r="B1" s="60" t="s">
        <v>94</v>
      </c>
      <c r="C1" s="61" t="s">
        <v>92</v>
      </c>
      <c r="D1" s="60">
        <v>2026</v>
      </c>
      <c r="E1" s="102"/>
      <c r="F1" s="102"/>
    </row>
    <row r="2" spans="1:8" ht="35" customHeight="1" x14ac:dyDescent="0.15">
      <c r="A2" s="58" t="s">
        <v>207</v>
      </c>
      <c r="B2" s="103">
        <v>46023</v>
      </c>
      <c r="C2" s="104"/>
      <c r="D2" s="104"/>
      <c r="E2" s="104"/>
      <c r="F2" s="104"/>
      <c r="G2" s="62"/>
      <c r="H2" s="63" t="s">
        <v>32</v>
      </c>
    </row>
    <row r="3" spans="1:8" ht="35" customHeight="1" x14ac:dyDescent="0.15">
      <c r="A3" s="54" t="s">
        <v>17</v>
      </c>
      <c r="B3" s="55">
        <v>62.884999999999998</v>
      </c>
      <c r="C3" s="54" t="s">
        <v>49</v>
      </c>
      <c r="D3" s="56">
        <v>324.1345</v>
      </c>
      <c r="E3" s="54" t="s">
        <v>18</v>
      </c>
      <c r="F3" s="56">
        <v>32.024000000000001</v>
      </c>
      <c r="H3" s="10" t="s">
        <v>180</v>
      </c>
    </row>
    <row r="4" spans="1:8" ht="35" customHeight="1" x14ac:dyDescent="0.15">
      <c r="A4" s="54" t="s">
        <v>19</v>
      </c>
      <c r="B4" s="56">
        <v>7.1875</v>
      </c>
      <c r="C4" s="54" t="s">
        <v>35</v>
      </c>
      <c r="D4" s="56">
        <v>612.83500000000004</v>
      </c>
      <c r="E4" s="54" t="s">
        <v>36</v>
      </c>
      <c r="F4" s="56">
        <v>821.8</v>
      </c>
    </row>
    <row r="5" spans="1:8" ht="35" customHeight="1" x14ac:dyDescent="0.15">
      <c r="A5" s="54" t="s">
        <v>58</v>
      </c>
      <c r="B5" s="56">
        <v>129.9</v>
      </c>
      <c r="C5" s="54" t="s">
        <v>37</v>
      </c>
      <c r="D5" s="56">
        <v>15.7</v>
      </c>
      <c r="E5" s="54" t="s">
        <v>22</v>
      </c>
      <c r="F5" s="56">
        <v>1.6547000000000001</v>
      </c>
    </row>
    <row r="6" spans="1:8" ht="35" customHeight="1" x14ac:dyDescent="0.15">
      <c r="A6" s="54" t="s">
        <v>23</v>
      </c>
      <c r="B6" s="56">
        <v>6.8040000000000002E-3</v>
      </c>
      <c r="C6" s="54" t="s">
        <v>38</v>
      </c>
      <c r="D6" s="56">
        <v>12.648000000000001</v>
      </c>
      <c r="E6" s="54" t="s">
        <v>39</v>
      </c>
      <c r="F6" s="56">
        <v>7.968</v>
      </c>
    </row>
    <row r="7" spans="1:8" ht="35" customHeight="1" x14ac:dyDescent="0.15">
      <c r="A7" s="54" t="s">
        <v>40</v>
      </c>
      <c r="B7" s="56">
        <v>173.70000000000002</v>
      </c>
      <c r="C7" s="54" t="s">
        <v>41</v>
      </c>
      <c r="D7" s="56">
        <v>2280.4</v>
      </c>
      <c r="E7" s="54"/>
      <c r="F7" s="56">
        <v>0</v>
      </c>
    </row>
    <row r="8" spans="1:8" ht="35" customHeight="1" x14ac:dyDescent="0.15">
      <c r="A8" s="57" t="s">
        <v>128</v>
      </c>
      <c r="B8" s="56">
        <v>60</v>
      </c>
      <c r="C8" s="57" t="s">
        <v>130</v>
      </c>
      <c r="D8" s="56">
        <v>4.5</v>
      </c>
      <c r="E8" s="57" t="s">
        <v>133</v>
      </c>
      <c r="F8" s="56">
        <v>0</v>
      </c>
    </row>
    <row r="9" spans="1:8" ht="35" customHeight="1" x14ac:dyDescent="0.15">
      <c r="A9" s="57" t="s">
        <v>135</v>
      </c>
      <c r="B9" s="56">
        <v>0</v>
      </c>
      <c r="C9" s="57" t="s">
        <v>138</v>
      </c>
      <c r="D9" s="56">
        <v>0</v>
      </c>
      <c r="E9" s="57" t="s">
        <v>140</v>
      </c>
      <c r="F9" s="56">
        <v>0</v>
      </c>
    </row>
    <row r="10" spans="1:8" ht="35" customHeight="1" x14ac:dyDescent="0.15">
      <c r="A10" s="105" t="s">
        <v>42</v>
      </c>
      <c r="B10" s="106"/>
      <c r="C10" s="106"/>
      <c r="D10" s="106"/>
      <c r="E10" s="106"/>
      <c r="F10" s="56">
        <v>1766.0250000000001</v>
      </c>
    </row>
    <row r="11" spans="1:8" ht="35" customHeight="1" x14ac:dyDescent="0.15">
      <c r="A11" s="52" t="s">
        <v>207</v>
      </c>
      <c r="B11" s="103">
        <v>46024</v>
      </c>
      <c r="C11" s="104"/>
      <c r="D11" s="104"/>
      <c r="E11" s="104"/>
      <c r="F11" s="104"/>
      <c r="G11" s="62"/>
    </row>
    <row r="12" spans="1:8" ht="35" customHeight="1" x14ac:dyDescent="0.15">
      <c r="A12" s="54" t="s">
        <v>17</v>
      </c>
      <c r="B12" s="55">
        <v>72.5</v>
      </c>
      <c r="C12" s="54" t="s">
        <v>49</v>
      </c>
      <c r="D12" s="56">
        <v>321.89850000000001</v>
      </c>
      <c r="E12" s="54" t="s">
        <v>18</v>
      </c>
      <c r="F12" s="56">
        <v>38.147500000000001</v>
      </c>
    </row>
    <row r="13" spans="1:8" ht="35" customHeight="1" x14ac:dyDescent="0.15">
      <c r="A13" s="54" t="s">
        <v>19</v>
      </c>
      <c r="B13" s="56">
        <v>8.3330000000000002</v>
      </c>
      <c r="C13" s="54" t="s">
        <v>35</v>
      </c>
      <c r="D13" s="56">
        <v>733.72199999999998</v>
      </c>
      <c r="E13" s="54" t="s">
        <v>36</v>
      </c>
      <c r="F13" s="56">
        <v>851.38</v>
      </c>
    </row>
    <row r="14" spans="1:8" ht="35" customHeight="1" x14ac:dyDescent="0.15">
      <c r="A14" s="54" t="s">
        <v>58</v>
      </c>
      <c r="B14" s="56">
        <v>153.52000000000001</v>
      </c>
      <c r="C14" s="54" t="s">
        <v>37</v>
      </c>
      <c r="D14" s="56">
        <v>15.184000000000001</v>
      </c>
      <c r="E14" s="54" t="s">
        <v>22</v>
      </c>
      <c r="F14" s="56">
        <v>2.0926</v>
      </c>
    </row>
    <row r="15" spans="1:8" ht="35" customHeight="1" x14ac:dyDescent="0.15">
      <c r="A15" s="54" t="s">
        <v>23</v>
      </c>
      <c r="B15" s="56">
        <v>8.1270000000000005E-3</v>
      </c>
      <c r="C15" s="54" t="s">
        <v>38</v>
      </c>
      <c r="D15" s="56">
        <v>11.701000000000001</v>
      </c>
      <c r="E15" s="54" t="s">
        <v>39</v>
      </c>
      <c r="F15" s="56">
        <v>7.3833000000000002</v>
      </c>
    </row>
    <row r="16" spans="1:8" ht="35" customHeight="1" x14ac:dyDescent="0.15">
      <c r="A16" s="54" t="s">
        <v>40</v>
      </c>
      <c r="B16" s="56">
        <v>171.03</v>
      </c>
      <c r="C16" s="54" t="s">
        <v>41</v>
      </c>
      <c r="D16" s="56">
        <v>2252.9299999999998</v>
      </c>
      <c r="E16" s="54"/>
      <c r="F16" s="56">
        <v>0</v>
      </c>
    </row>
    <row r="17" spans="1:7" ht="35" customHeight="1" x14ac:dyDescent="0.15">
      <c r="A17" s="57" t="s">
        <v>128</v>
      </c>
      <c r="B17" s="56">
        <v>42</v>
      </c>
      <c r="C17" s="57" t="s">
        <v>130</v>
      </c>
      <c r="D17" s="56">
        <v>6.3</v>
      </c>
      <c r="E17" s="57" t="s">
        <v>133</v>
      </c>
      <c r="F17" s="56">
        <v>0</v>
      </c>
    </row>
    <row r="18" spans="1:7" ht="35" customHeight="1" x14ac:dyDescent="0.15">
      <c r="A18" s="57" t="s">
        <v>135</v>
      </c>
      <c r="B18" s="56">
        <v>0</v>
      </c>
      <c r="C18" s="57" t="s">
        <v>138</v>
      </c>
      <c r="D18" s="56">
        <v>0</v>
      </c>
      <c r="E18" s="57" t="s">
        <v>140</v>
      </c>
      <c r="F18" s="56">
        <v>0</v>
      </c>
    </row>
    <row r="19" spans="1:7" ht="35" customHeight="1" x14ac:dyDescent="0.15">
      <c r="A19" s="105" t="s">
        <v>42</v>
      </c>
      <c r="B19" s="106"/>
      <c r="C19" s="106"/>
      <c r="D19" s="106"/>
      <c r="E19" s="106"/>
      <c r="F19" s="56">
        <v>1823.98</v>
      </c>
    </row>
    <row r="20" spans="1:7" ht="35" customHeight="1" x14ac:dyDescent="0.15">
      <c r="A20" s="52" t="s">
        <v>207</v>
      </c>
      <c r="B20" s="103">
        <v>46025</v>
      </c>
      <c r="C20" s="104"/>
      <c r="D20" s="104"/>
      <c r="E20" s="104"/>
      <c r="F20" s="104"/>
      <c r="G20" s="62"/>
    </row>
    <row r="21" spans="1:7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7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7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7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7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7" ht="35" customHeight="1" x14ac:dyDescent="0.15">
      <c r="A26" s="57" t="s">
        <v>128</v>
      </c>
      <c r="B26" s="56">
        <v>0</v>
      </c>
      <c r="C26" s="57" t="s">
        <v>130</v>
      </c>
      <c r="D26" s="56">
        <v>0</v>
      </c>
      <c r="E26" s="57" t="s">
        <v>133</v>
      </c>
      <c r="F26" s="56">
        <v>0</v>
      </c>
    </row>
    <row r="27" spans="1:7" ht="35" customHeight="1" x14ac:dyDescent="0.15">
      <c r="A27" s="57" t="s">
        <v>135</v>
      </c>
      <c r="B27" s="56">
        <v>0</v>
      </c>
      <c r="C27" s="57" t="s">
        <v>138</v>
      </c>
      <c r="D27" s="56">
        <v>0</v>
      </c>
      <c r="E27" s="57" t="s">
        <v>140</v>
      </c>
      <c r="F27" s="56">
        <v>0</v>
      </c>
    </row>
    <row r="28" spans="1:7" ht="35" customHeight="1" x14ac:dyDescent="0.15">
      <c r="A28" s="105" t="s">
        <v>42</v>
      </c>
      <c r="B28" s="106"/>
      <c r="C28" s="106"/>
      <c r="D28" s="106"/>
      <c r="E28" s="106"/>
      <c r="F28" s="56">
        <v>0</v>
      </c>
    </row>
    <row r="29" spans="1:7" ht="35" customHeight="1" x14ac:dyDescent="0.15">
      <c r="A29" s="52" t="s">
        <v>207</v>
      </c>
      <c r="B29" s="103">
        <v>46026</v>
      </c>
      <c r="C29" s="104"/>
      <c r="D29" s="104"/>
      <c r="E29" s="104"/>
      <c r="F29" s="104"/>
      <c r="G29" s="62"/>
    </row>
    <row r="30" spans="1:7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7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7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7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7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7" ht="35" customHeight="1" x14ac:dyDescent="0.15">
      <c r="A35" s="57" t="s">
        <v>128</v>
      </c>
      <c r="B35" s="56">
        <v>0</v>
      </c>
      <c r="C35" s="57" t="s">
        <v>130</v>
      </c>
      <c r="D35" s="56">
        <v>0</v>
      </c>
      <c r="E35" s="57" t="s">
        <v>133</v>
      </c>
      <c r="F35" s="56">
        <v>0</v>
      </c>
    </row>
    <row r="36" spans="1:7" ht="35" customHeight="1" x14ac:dyDescent="0.15">
      <c r="A36" s="57" t="s">
        <v>135</v>
      </c>
      <c r="B36" s="56">
        <v>0</v>
      </c>
      <c r="C36" s="57" t="s">
        <v>138</v>
      </c>
      <c r="D36" s="56">
        <v>0</v>
      </c>
      <c r="E36" s="57" t="s">
        <v>140</v>
      </c>
      <c r="F36" s="56">
        <v>0</v>
      </c>
    </row>
    <row r="37" spans="1:7" ht="35" customHeight="1" x14ac:dyDescent="0.15">
      <c r="A37" s="105" t="s">
        <v>42</v>
      </c>
      <c r="B37" s="106"/>
      <c r="C37" s="106"/>
      <c r="D37" s="106"/>
      <c r="E37" s="106"/>
      <c r="F37" s="56">
        <v>0</v>
      </c>
    </row>
    <row r="38" spans="1:7" ht="35" customHeight="1" x14ac:dyDescent="0.15">
      <c r="A38" s="52" t="s">
        <v>207</v>
      </c>
      <c r="B38" s="103">
        <v>46027</v>
      </c>
      <c r="C38" s="104"/>
      <c r="D38" s="104"/>
      <c r="E38" s="104"/>
      <c r="F38" s="104"/>
      <c r="G38" s="62"/>
    </row>
    <row r="39" spans="1:7" ht="35" customHeight="1" x14ac:dyDescent="0.15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7" ht="35" customHeight="1" x14ac:dyDescent="0.15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7" ht="35" customHeight="1" x14ac:dyDescent="0.15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7" ht="35" customHeight="1" x14ac:dyDescent="0.15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7" ht="35" customHeight="1" x14ac:dyDescent="0.15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7" ht="35" customHeight="1" x14ac:dyDescent="0.15">
      <c r="A44" s="57" t="s">
        <v>128</v>
      </c>
      <c r="B44" s="56">
        <v>0</v>
      </c>
      <c r="C44" s="57" t="s">
        <v>130</v>
      </c>
      <c r="D44" s="56">
        <v>0</v>
      </c>
      <c r="E44" s="57" t="s">
        <v>133</v>
      </c>
      <c r="F44" s="56">
        <v>0</v>
      </c>
    </row>
    <row r="45" spans="1:7" ht="35" customHeight="1" x14ac:dyDescent="0.15">
      <c r="A45" s="57" t="s">
        <v>135</v>
      </c>
      <c r="B45" s="56">
        <v>0</v>
      </c>
      <c r="C45" s="57" t="s">
        <v>138</v>
      </c>
      <c r="D45" s="56">
        <v>0</v>
      </c>
      <c r="E45" s="57" t="s">
        <v>140</v>
      </c>
      <c r="F45" s="56">
        <v>0</v>
      </c>
    </row>
    <row r="46" spans="1:7" ht="35" customHeight="1" x14ac:dyDescent="0.15">
      <c r="A46" s="105" t="s">
        <v>42</v>
      </c>
      <c r="B46" s="106"/>
      <c r="C46" s="106"/>
      <c r="D46" s="106"/>
      <c r="E46" s="106"/>
      <c r="F46" s="56">
        <v>0</v>
      </c>
    </row>
    <row r="47" spans="1:7" ht="35" customHeight="1" x14ac:dyDescent="0.15">
      <c r="A47" s="52" t="s">
        <v>207</v>
      </c>
      <c r="B47" s="103">
        <v>46028</v>
      </c>
      <c r="C47" s="104"/>
      <c r="D47" s="104"/>
      <c r="E47" s="104"/>
      <c r="F47" s="104"/>
      <c r="G47" s="62"/>
    </row>
    <row r="48" spans="1:7" ht="35" customHeight="1" x14ac:dyDescent="0.15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7" ht="35" customHeight="1" x14ac:dyDescent="0.15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7" ht="35" customHeight="1" x14ac:dyDescent="0.15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7" ht="35" customHeight="1" x14ac:dyDescent="0.15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7" ht="35" customHeight="1" x14ac:dyDescent="0.15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7" ht="35" customHeight="1" x14ac:dyDescent="0.15">
      <c r="A53" s="57" t="s">
        <v>128</v>
      </c>
      <c r="B53" s="56">
        <v>0</v>
      </c>
      <c r="C53" s="57" t="s">
        <v>130</v>
      </c>
      <c r="D53" s="56">
        <v>0</v>
      </c>
      <c r="E53" s="57" t="s">
        <v>133</v>
      </c>
      <c r="F53" s="56">
        <v>0</v>
      </c>
    </row>
    <row r="54" spans="1:7" ht="35" customHeight="1" x14ac:dyDescent="0.15">
      <c r="A54" s="57" t="s">
        <v>135</v>
      </c>
      <c r="B54" s="56">
        <v>0</v>
      </c>
      <c r="C54" s="57" t="s">
        <v>138</v>
      </c>
      <c r="D54" s="56">
        <v>0</v>
      </c>
      <c r="E54" s="57" t="s">
        <v>140</v>
      </c>
      <c r="F54" s="56">
        <v>0</v>
      </c>
    </row>
    <row r="55" spans="1:7" ht="35" customHeight="1" x14ac:dyDescent="0.15">
      <c r="A55" s="105" t="s">
        <v>42</v>
      </c>
      <c r="B55" s="106"/>
      <c r="C55" s="106"/>
      <c r="D55" s="106"/>
      <c r="E55" s="106"/>
      <c r="F55" s="56">
        <v>0</v>
      </c>
    </row>
    <row r="56" spans="1:7" ht="35" customHeight="1" x14ac:dyDescent="0.15">
      <c r="A56" s="52" t="s">
        <v>207</v>
      </c>
      <c r="B56" s="103">
        <v>46029</v>
      </c>
      <c r="C56" s="104"/>
      <c r="D56" s="104"/>
      <c r="E56" s="104"/>
      <c r="F56" s="104"/>
      <c r="G56" s="62"/>
    </row>
    <row r="57" spans="1:7" ht="35" customHeight="1" x14ac:dyDescent="0.15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7" ht="35" customHeight="1" x14ac:dyDescent="0.15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7" ht="35" customHeight="1" x14ac:dyDescent="0.15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7" ht="35" customHeight="1" x14ac:dyDescent="0.15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7" ht="35" customHeight="1" x14ac:dyDescent="0.15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7" ht="35" customHeight="1" x14ac:dyDescent="0.15">
      <c r="A62" s="57" t="s">
        <v>128</v>
      </c>
      <c r="B62" s="56">
        <v>0</v>
      </c>
      <c r="C62" s="57" t="s">
        <v>130</v>
      </c>
      <c r="D62" s="56">
        <v>0</v>
      </c>
      <c r="E62" s="57" t="s">
        <v>133</v>
      </c>
      <c r="F62" s="56">
        <v>0</v>
      </c>
    </row>
    <row r="63" spans="1:7" ht="35" customHeight="1" x14ac:dyDescent="0.15">
      <c r="A63" s="57" t="s">
        <v>135</v>
      </c>
      <c r="B63" s="56">
        <v>0</v>
      </c>
      <c r="C63" s="57" t="s">
        <v>138</v>
      </c>
      <c r="D63" s="56">
        <v>0</v>
      </c>
      <c r="E63" s="57" t="s">
        <v>140</v>
      </c>
      <c r="F63" s="56">
        <v>0</v>
      </c>
    </row>
    <row r="64" spans="1:7" ht="35" customHeight="1" x14ac:dyDescent="0.15">
      <c r="A64" s="105" t="s">
        <v>42</v>
      </c>
      <c r="B64" s="106"/>
      <c r="C64" s="106"/>
      <c r="D64" s="106"/>
      <c r="E64" s="106"/>
      <c r="F64" s="56">
        <v>0</v>
      </c>
    </row>
    <row r="65" spans="1:7" ht="35" customHeight="1" x14ac:dyDescent="0.15">
      <c r="A65" s="52" t="s">
        <v>207</v>
      </c>
      <c r="B65" s="103">
        <v>46030</v>
      </c>
      <c r="C65" s="104"/>
      <c r="D65" s="104"/>
      <c r="E65" s="104"/>
      <c r="F65" s="104"/>
      <c r="G65" s="62"/>
    </row>
    <row r="66" spans="1:7" ht="35" customHeight="1" x14ac:dyDescent="0.15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7" ht="35" customHeight="1" x14ac:dyDescent="0.15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7" ht="35" customHeight="1" x14ac:dyDescent="0.15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7" ht="35" customHeight="1" x14ac:dyDescent="0.15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7" ht="35" customHeight="1" x14ac:dyDescent="0.15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7" ht="35" customHeight="1" x14ac:dyDescent="0.15">
      <c r="A71" s="57" t="s">
        <v>128</v>
      </c>
      <c r="B71" s="56">
        <v>0</v>
      </c>
      <c r="C71" s="57" t="s">
        <v>130</v>
      </c>
      <c r="D71" s="56">
        <v>0</v>
      </c>
      <c r="E71" s="57" t="s">
        <v>133</v>
      </c>
      <c r="F71" s="56">
        <v>0</v>
      </c>
    </row>
    <row r="72" spans="1:7" ht="35" customHeight="1" x14ac:dyDescent="0.15">
      <c r="A72" s="57" t="s">
        <v>135</v>
      </c>
      <c r="B72" s="56">
        <v>0</v>
      </c>
      <c r="C72" s="57" t="s">
        <v>138</v>
      </c>
      <c r="D72" s="56">
        <v>0</v>
      </c>
      <c r="E72" s="57" t="s">
        <v>140</v>
      </c>
      <c r="F72" s="56">
        <v>0</v>
      </c>
    </row>
    <row r="73" spans="1:7" ht="35" customHeight="1" x14ac:dyDescent="0.15">
      <c r="A73" s="105" t="s">
        <v>42</v>
      </c>
      <c r="B73" s="106"/>
      <c r="C73" s="106"/>
      <c r="D73" s="106"/>
      <c r="E73" s="106"/>
      <c r="F73" s="56">
        <v>0</v>
      </c>
    </row>
    <row r="74" spans="1:7" ht="35" customHeight="1" x14ac:dyDescent="0.15">
      <c r="A74" s="52" t="s">
        <v>207</v>
      </c>
      <c r="B74" s="103">
        <v>46031</v>
      </c>
      <c r="C74" s="104"/>
      <c r="D74" s="104"/>
      <c r="E74" s="104"/>
      <c r="F74" s="104"/>
      <c r="G74" s="62"/>
    </row>
    <row r="75" spans="1:7" ht="35" customHeight="1" x14ac:dyDescent="0.15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7" ht="35" customHeight="1" x14ac:dyDescent="0.15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7" ht="35" customHeight="1" x14ac:dyDescent="0.15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7" ht="35" customHeight="1" x14ac:dyDescent="0.15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7" ht="35" customHeight="1" x14ac:dyDescent="0.15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7" ht="35" customHeight="1" x14ac:dyDescent="0.15">
      <c r="A80" s="57" t="s">
        <v>128</v>
      </c>
      <c r="B80" s="56">
        <v>0</v>
      </c>
      <c r="C80" s="57" t="s">
        <v>130</v>
      </c>
      <c r="D80" s="56">
        <v>0</v>
      </c>
      <c r="E80" s="57" t="s">
        <v>133</v>
      </c>
      <c r="F80" s="56">
        <v>0</v>
      </c>
    </row>
    <row r="81" spans="1:7" ht="35" customHeight="1" x14ac:dyDescent="0.15">
      <c r="A81" s="57" t="s">
        <v>135</v>
      </c>
      <c r="B81" s="56">
        <v>0</v>
      </c>
      <c r="C81" s="57" t="s">
        <v>138</v>
      </c>
      <c r="D81" s="56">
        <v>0</v>
      </c>
      <c r="E81" s="57" t="s">
        <v>140</v>
      </c>
      <c r="F81" s="56">
        <v>0</v>
      </c>
    </row>
    <row r="82" spans="1:7" ht="35" customHeight="1" x14ac:dyDescent="0.15">
      <c r="A82" s="105" t="s">
        <v>42</v>
      </c>
      <c r="B82" s="106"/>
      <c r="C82" s="106"/>
      <c r="D82" s="106"/>
      <c r="E82" s="106"/>
      <c r="F82" s="56">
        <v>0</v>
      </c>
    </row>
    <row r="83" spans="1:7" ht="35" customHeight="1" x14ac:dyDescent="0.15">
      <c r="A83" s="52" t="s">
        <v>207</v>
      </c>
      <c r="B83" s="103">
        <v>46032</v>
      </c>
      <c r="C83" s="104"/>
      <c r="D83" s="104"/>
      <c r="E83" s="104"/>
      <c r="F83" s="104"/>
      <c r="G83" s="62"/>
    </row>
    <row r="84" spans="1:7" ht="35" customHeight="1" x14ac:dyDescent="0.15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7" ht="35" customHeight="1" x14ac:dyDescent="0.15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7" ht="35" customHeight="1" x14ac:dyDescent="0.15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7" ht="35" customHeight="1" x14ac:dyDescent="0.15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7" ht="35" customHeight="1" x14ac:dyDescent="0.15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7" ht="35" customHeight="1" x14ac:dyDescent="0.15">
      <c r="A89" s="57" t="s">
        <v>128</v>
      </c>
      <c r="B89" s="56">
        <v>0</v>
      </c>
      <c r="C89" s="57" t="s">
        <v>130</v>
      </c>
      <c r="D89" s="56">
        <v>0</v>
      </c>
      <c r="E89" s="57" t="s">
        <v>133</v>
      </c>
      <c r="F89" s="56">
        <v>0</v>
      </c>
    </row>
    <row r="90" spans="1:7" ht="35" customHeight="1" x14ac:dyDescent="0.15">
      <c r="A90" s="57" t="s">
        <v>135</v>
      </c>
      <c r="B90" s="56">
        <v>0</v>
      </c>
      <c r="C90" s="57" t="s">
        <v>138</v>
      </c>
      <c r="D90" s="56">
        <v>0</v>
      </c>
      <c r="E90" s="57" t="s">
        <v>140</v>
      </c>
      <c r="F90" s="56">
        <v>0</v>
      </c>
    </row>
    <row r="91" spans="1:7" ht="35" customHeight="1" x14ac:dyDescent="0.15">
      <c r="A91" s="105" t="s">
        <v>42</v>
      </c>
      <c r="B91" s="106"/>
      <c r="C91" s="106"/>
      <c r="D91" s="106"/>
      <c r="E91" s="106"/>
      <c r="F91" s="56">
        <v>0</v>
      </c>
    </row>
    <row r="92" spans="1:7" ht="35" customHeight="1" x14ac:dyDescent="0.15">
      <c r="A92" s="52" t="s">
        <v>207</v>
      </c>
      <c r="B92" s="103">
        <v>46033</v>
      </c>
      <c r="C92" s="104"/>
      <c r="D92" s="104"/>
      <c r="E92" s="104"/>
      <c r="F92" s="104"/>
      <c r="G92" s="62"/>
    </row>
    <row r="93" spans="1:7" ht="35" customHeight="1" x14ac:dyDescent="0.15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7" ht="35" customHeight="1" x14ac:dyDescent="0.15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7" ht="35" customHeight="1" x14ac:dyDescent="0.15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7" ht="35" customHeight="1" x14ac:dyDescent="0.15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7" ht="35" customHeight="1" x14ac:dyDescent="0.15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7" ht="35" customHeight="1" x14ac:dyDescent="0.15">
      <c r="A98" s="57" t="s">
        <v>128</v>
      </c>
      <c r="B98" s="56">
        <v>0</v>
      </c>
      <c r="C98" s="57" t="s">
        <v>130</v>
      </c>
      <c r="D98" s="56">
        <v>0</v>
      </c>
      <c r="E98" s="57" t="s">
        <v>133</v>
      </c>
      <c r="F98" s="56">
        <v>0</v>
      </c>
    </row>
    <row r="99" spans="1:7" ht="35" customHeight="1" x14ac:dyDescent="0.15">
      <c r="A99" s="57" t="s">
        <v>135</v>
      </c>
      <c r="B99" s="56">
        <v>0</v>
      </c>
      <c r="C99" s="57" t="s">
        <v>138</v>
      </c>
      <c r="D99" s="56">
        <v>0</v>
      </c>
      <c r="E99" s="57" t="s">
        <v>140</v>
      </c>
      <c r="F99" s="56">
        <v>0</v>
      </c>
    </row>
    <row r="100" spans="1:7" ht="35" customHeight="1" x14ac:dyDescent="0.15">
      <c r="A100" s="105" t="s">
        <v>42</v>
      </c>
      <c r="B100" s="106"/>
      <c r="C100" s="106"/>
      <c r="D100" s="106"/>
      <c r="E100" s="106"/>
      <c r="F100" s="56">
        <v>0</v>
      </c>
    </row>
    <row r="101" spans="1:7" ht="35" customHeight="1" x14ac:dyDescent="0.15">
      <c r="A101" s="52" t="s">
        <v>207</v>
      </c>
      <c r="B101" s="103">
        <v>46034</v>
      </c>
      <c r="C101" s="104"/>
      <c r="D101" s="104"/>
      <c r="E101" s="104"/>
      <c r="F101" s="104"/>
      <c r="G101" s="62"/>
    </row>
    <row r="102" spans="1:7" ht="35" customHeight="1" x14ac:dyDescent="0.15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7" ht="35" customHeight="1" x14ac:dyDescent="0.15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7" ht="35" customHeight="1" x14ac:dyDescent="0.15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7" ht="35" customHeight="1" x14ac:dyDescent="0.15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7" ht="35" customHeight="1" x14ac:dyDescent="0.15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7" ht="35" customHeight="1" x14ac:dyDescent="0.15">
      <c r="A107" s="57" t="s">
        <v>128</v>
      </c>
      <c r="B107" s="56">
        <v>0</v>
      </c>
      <c r="C107" s="57" t="s">
        <v>130</v>
      </c>
      <c r="D107" s="56">
        <v>0</v>
      </c>
      <c r="E107" s="57" t="s">
        <v>133</v>
      </c>
      <c r="F107" s="56">
        <v>0</v>
      </c>
    </row>
    <row r="108" spans="1:7" ht="35" customHeight="1" x14ac:dyDescent="0.15">
      <c r="A108" s="57" t="s">
        <v>135</v>
      </c>
      <c r="B108" s="56">
        <v>0</v>
      </c>
      <c r="C108" s="57" t="s">
        <v>138</v>
      </c>
      <c r="D108" s="56">
        <v>0</v>
      </c>
      <c r="E108" s="57" t="s">
        <v>140</v>
      </c>
      <c r="F108" s="56">
        <v>0</v>
      </c>
    </row>
    <row r="109" spans="1:7" ht="35" customHeight="1" x14ac:dyDescent="0.15">
      <c r="A109" s="105" t="s">
        <v>42</v>
      </c>
      <c r="B109" s="106"/>
      <c r="C109" s="106"/>
      <c r="D109" s="106"/>
      <c r="E109" s="106"/>
      <c r="F109" s="56">
        <v>0</v>
      </c>
    </row>
    <row r="110" spans="1:7" ht="35" customHeight="1" x14ac:dyDescent="0.15">
      <c r="A110" s="52" t="s">
        <v>207</v>
      </c>
      <c r="B110" s="103">
        <v>46035</v>
      </c>
      <c r="C110" s="104"/>
      <c r="D110" s="104"/>
      <c r="E110" s="104"/>
      <c r="F110" s="104"/>
    </row>
    <row r="111" spans="1:7" ht="35" customHeight="1" x14ac:dyDescent="0.15">
      <c r="A111" s="54" t="s">
        <v>17</v>
      </c>
      <c r="B111" s="55">
        <v>0</v>
      </c>
      <c r="C111" s="54" t="s">
        <v>49</v>
      </c>
      <c r="D111" s="56">
        <v>0</v>
      </c>
      <c r="E111" s="54" t="s">
        <v>18</v>
      </c>
      <c r="F111" s="56">
        <v>0</v>
      </c>
    </row>
    <row r="112" spans="1:7" ht="35" customHeight="1" x14ac:dyDescent="0.15">
      <c r="A112" s="54" t="s">
        <v>19</v>
      </c>
      <c r="B112" s="56">
        <v>0</v>
      </c>
      <c r="C112" s="54" t="s">
        <v>35</v>
      </c>
      <c r="D112" s="56">
        <v>0</v>
      </c>
      <c r="E112" s="54" t="s">
        <v>36</v>
      </c>
      <c r="F112" s="56">
        <v>0</v>
      </c>
    </row>
    <row r="113" spans="1:6" ht="35" customHeight="1" x14ac:dyDescent="0.15">
      <c r="A113" s="54" t="s">
        <v>58</v>
      </c>
      <c r="B113" s="56">
        <v>0</v>
      </c>
      <c r="C113" s="54" t="s">
        <v>37</v>
      </c>
      <c r="D113" s="56">
        <v>0</v>
      </c>
      <c r="E113" s="54" t="s">
        <v>22</v>
      </c>
      <c r="F113" s="56">
        <v>0</v>
      </c>
    </row>
    <row r="114" spans="1:6" ht="35" customHeight="1" x14ac:dyDescent="0.15">
      <c r="A114" s="54" t="s">
        <v>23</v>
      </c>
      <c r="B114" s="56">
        <v>0</v>
      </c>
      <c r="C114" s="54" t="s">
        <v>38</v>
      </c>
      <c r="D114" s="56">
        <v>0</v>
      </c>
      <c r="E114" s="54" t="s">
        <v>39</v>
      </c>
      <c r="F114" s="56">
        <v>0</v>
      </c>
    </row>
    <row r="115" spans="1:6" ht="35" customHeight="1" x14ac:dyDescent="0.15">
      <c r="A115" s="54" t="s">
        <v>40</v>
      </c>
      <c r="B115" s="56">
        <v>0</v>
      </c>
      <c r="C115" s="54" t="s">
        <v>41</v>
      </c>
      <c r="D115" s="56">
        <v>0</v>
      </c>
      <c r="E115" s="54"/>
      <c r="F115" s="56">
        <v>0</v>
      </c>
    </row>
    <row r="116" spans="1:6" ht="35" customHeight="1" x14ac:dyDescent="0.15">
      <c r="A116" s="57" t="s">
        <v>128</v>
      </c>
      <c r="B116" s="56">
        <v>0</v>
      </c>
      <c r="C116" s="57" t="s">
        <v>130</v>
      </c>
      <c r="D116" s="56">
        <v>0</v>
      </c>
      <c r="E116" s="57" t="s">
        <v>133</v>
      </c>
      <c r="F116" s="56">
        <v>0</v>
      </c>
    </row>
    <row r="117" spans="1:6" ht="35" customHeight="1" x14ac:dyDescent="0.15">
      <c r="A117" s="57" t="s">
        <v>135</v>
      </c>
      <c r="B117" s="56">
        <v>0</v>
      </c>
      <c r="C117" s="57" t="s">
        <v>138</v>
      </c>
      <c r="D117" s="56">
        <v>0</v>
      </c>
      <c r="E117" s="57" t="s">
        <v>140</v>
      </c>
      <c r="F117" s="56">
        <v>0</v>
      </c>
    </row>
    <row r="118" spans="1:6" ht="35" customHeight="1" x14ac:dyDescent="0.15">
      <c r="A118" s="105" t="s">
        <v>42</v>
      </c>
      <c r="B118" s="106"/>
      <c r="C118" s="106"/>
      <c r="D118" s="106"/>
      <c r="E118" s="106"/>
      <c r="F118" s="56">
        <v>0</v>
      </c>
    </row>
    <row r="119" spans="1:6" ht="35" customHeight="1" x14ac:dyDescent="0.15">
      <c r="A119" s="52" t="s">
        <v>207</v>
      </c>
      <c r="B119" s="103">
        <v>46036</v>
      </c>
      <c r="C119" s="104"/>
      <c r="D119" s="104"/>
      <c r="E119" s="104"/>
      <c r="F119" s="104"/>
    </row>
    <row r="120" spans="1:6" ht="35" customHeight="1" x14ac:dyDescent="0.15">
      <c r="A120" s="54" t="s">
        <v>17</v>
      </c>
      <c r="B120" s="55">
        <v>0</v>
      </c>
      <c r="C120" s="54" t="s">
        <v>49</v>
      </c>
      <c r="D120" s="56">
        <v>0</v>
      </c>
      <c r="E120" s="54" t="s">
        <v>18</v>
      </c>
      <c r="F120" s="56">
        <v>0</v>
      </c>
    </row>
    <row r="121" spans="1:6" ht="35" customHeight="1" x14ac:dyDescent="0.15">
      <c r="A121" s="54" t="s">
        <v>19</v>
      </c>
      <c r="B121" s="56">
        <v>0</v>
      </c>
      <c r="C121" s="54" t="s">
        <v>35</v>
      </c>
      <c r="D121" s="56">
        <v>0</v>
      </c>
      <c r="E121" s="54" t="s">
        <v>36</v>
      </c>
      <c r="F121" s="56">
        <v>0</v>
      </c>
    </row>
    <row r="122" spans="1:6" ht="35" customHeight="1" x14ac:dyDescent="0.15">
      <c r="A122" s="54" t="s">
        <v>58</v>
      </c>
      <c r="B122" s="56">
        <v>0</v>
      </c>
      <c r="C122" s="54" t="s">
        <v>37</v>
      </c>
      <c r="D122" s="56">
        <v>0</v>
      </c>
      <c r="E122" s="54" t="s">
        <v>22</v>
      </c>
      <c r="F122" s="56">
        <v>0</v>
      </c>
    </row>
    <row r="123" spans="1:6" ht="35" customHeight="1" x14ac:dyDescent="0.15">
      <c r="A123" s="54" t="s">
        <v>23</v>
      </c>
      <c r="B123" s="56">
        <v>0</v>
      </c>
      <c r="C123" s="54" t="s">
        <v>38</v>
      </c>
      <c r="D123" s="56">
        <v>0</v>
      </c>
      <c r="E123" s="54" t="s">
        <v>39</v>
      </c>
      <c r="F123" s="56">
        <v>0</v>
      </c>
    </row>
    <row r="124" spans="1:6" ht="35" customHeight="1" x14ac:dyDescent="0.15">
      <c r="A124" s="54" t="s">
        <v>40</v>
      </c>
      <c r="B124" s="56">
        <v>0</v>
      </c>
      <c r="C124" s="54" t="s">
        <v>41</v>
      </c>
      <c r="D124" s="56">
        <v>0</v>
      </c>
      <c r="E124" s="54"/>
      <c r="F124" s="56">
        <v>0</v>
      </c>
    </row>
    <row r="125" spans="1:6" ht="35" customHeight="1" x14ac:dyDescent="0.15">
      <c r="A125" s="57" t="s">
        <v>128</v>
      </c>
      <c r="B125" s="56">
        <v>0</v>
      </c>
      <c r="C125" s="57" t="s">
        <v>130</v>
      </c>
      <c r="D125" s="56">
        <v>0</v>
      </c>
      <c r="E125" s="57" t="s">
        <v>133</v>
      </c>
      <c r="F125" s="56">
        <v>0</v>
      </c>
    </row>
    <row r="126" spans="1:6" ht="35" customHeight="1" x14ac:dyDescent="0.15">
      <c r="A126" s="57" t="s">
        <v>135</v>
      </c>
      <c r="B126" s="56">
        <v>0</v>
      </c>
      <c r="C126" s="57" t="s">
        <v>138</v>
      </c>
      <c r="D126" s="56">
        <v>0</v>
      </c>
      <c r="E126" s="57" t="s">
        <v>140</v>
      </c>
      <c r="F126" s="56">
        <v>0</v>
      </c>
    </row>
    <row r="127" spans="1:6" ht="35" customHeight="1" x14ac:dyDescent="0.15">
      <c r="A127" s="105" t="s">
        <v>42</v>
      </c>
      <c r="B127" s="106"/>
      <c r="C127" s="106"/>
      <c r="D127" s="106"/>
      <c r="E127" s="106"/>
      <c r="F127" s="56">
        <v>0</v>
      </c>
    </row>
    <row r="128" spans="1:6" ht="35" customHeight="1" x14ac:dyDescent="0.15">
      <c r="A128" s="52" t="s">
        <v>207</v>
      </c>
      <c r="B128" s="103">
        <v>46037</v>
      </c>
      <c r="C128" s="104"/>
      <c r="D128" s="104"/>
      <c r="E128" s="104"/>
      <c r="F128" s="104"/>
    </row>
    <row r="129" spans="1:6" ht="35" customHeight="1" x14ac:dyDescent="0.15">
      <c r="A129" s="54" t="s">
        <v>17</v>
      </c>
      <c r="B129" s="55">
        <v>0</v>
      </c>
      <c r="C129" s="54" t="s">
        <v>49</v>
      </c>
      <c r="D129" s="56">
        <v>0</v>
      </c>
      <c r="E129" s="54" t="s">
        <v>18</v>
      </c>
      <c r="F129" s="56">
        <v>0</v>
      </c>
    </row>
    <row r="130" spans="1:6" ht="35" customHeight="1" x14ac:dyDescent="0.15">
      <c r="A130" s="54" t="s">
        <v>19</v>
      </c>
      <c r="B130" s="56">
        <v>0</v>
      </c>
      <c r="C130" s="54" t="s">
        <v>35</v>
      </c>
      <c r="D130" s="56">
        <v>0</v>
      </c>
      <c r="E130" s="54" t="s">
        <v>36</v>
      </c>
      <c r="F130" s="56">
        <v>0</v>
      </c>
    </row>
    <row r="131" spans="1:6" ht="35" customHeight="1" x14ac:dyDescent="0.15">
      <c r="A131" s="54" t="s">
        <v>58</v>
      </c>
      <c r="B131" s="56">
        <v>0</v>
      </c>
      <c r="C131" s="54" t="s">
        <v>37</v>
      </c>
      <c r="D131" s="56">
        <v>0</v>
      </c>
      <c r="E131" s="54" t="s">
        <v>22</v>
      </c>
      <c r="F131" s="56">
        <v>0</v>
      </c>
    </row>
    <row r="132" spans="1:6" ht="35" customHeight="1" x14ac:dyDescent="0.15">
      <c r="A132" s="54" t="s">
        <v>23</v>
      </c>
      <c r="B132" s="56">
        <v>0</v>
      </c>
      <c r="C132" s="54" t="s">
        <v>38</v>
      </c>
      <c r="D132" s="56">
        <v>0</v>
      </c>
      <c r="E132" s="54" t="s">
        <v>39</v>
      </c>
      <c r="F132" s="56">
        <v>0</v>
      </c>
    </row>
    <row r="133" spans="1:6" ht="35" customHeight="1" x14ac:dyDescent="0.15">
      <c r="A133" s="54" t="s">
        <v>40</v>
      </c>
      <c r="B133" s="56">
        <v>0</v>
      </c>
      <c r="C133" s="54" t="s">
        <v>41</v>
      </c>
      <c r="D133" s="56">
        <v>0</v>
      </c>
      <c r="E133" s="54"/>
      <c r="F133" s="56">
        <v>0</v>
      </c>
    </row>
    <row r="134" spans="1:6" ht="35" customHeight="1" x14ac:dyDescent="0.15">
      <c r="A134" s="57" t="s">
        <v>128</v>
      </c>
      <c r="B134" s="56">
        <v>0</v>
      </c>
      <c r="C134" s="57" t="s">
        <v>130</v>
      </c>
      <c r="D134" s="56">
        <v>0</v>
      </c>
      <c r="E134" s="57" t="s">
        <v>133</v>
      </c>
      <c r="F134" s="56">
        <v>0</v>
      </c>
    </row>
    <row r="135" spans="1:6" ht="35" customHeight="1" x14ac:dyDescent="0.15">
      <c r="A135" s="57" t="s">
        <v>135</v>
      </c>
      <c r="B135" s="56">
        <v>0</v>
      </c>
      <c r="C135" s="57" t="s">
        <v>138</v>
      </c>
      <c r="D135" s="56">
        <v>0</v>
      </c>
      <c r="E135" s="57" t="s">
        <v>140</v>
      </c>
      <c r="F135" s="56">
        <v>0</v>
      </c>
    </row>
    <row r="136" spans="1:6" ht="35" customHeight="1" x14ac:dyDescent="0.15">
      <c r="A136" s="105" t="s">
        <v>42</v>
      </c>
      <c r="B136" s="106"/>
      <c r="C136" s="106"/>
      <c r="D136" s="106"/>
      <c r="E136" s="106"/>
      <c r="F136" s="56">
        <v>0</v>
      </c>
    </row>
    <row r="137" spans="1:6" ht="35" customHeight="1" x14ac:dyDescent="0.15">
      <c r="A137" s="52" t="s">
        <v>207</v>
      </c>
      <c r="B137" s="103">
        <v>46038</v>
      </c>
      <c r="C137" s="104"/>
      <c r="D137" s="104"/>
      <c r="E137" s="104"/>
      <c r="F137" s="104"/>
    </row>
    <row r="138" spans="1:6" ht="35" customHeight="1" x14ac:dyDescent="0.15">
      <c r="A138" s="54" t="s">
        <v>17</v>
      </c>
      <c r="B138" s="55">
        <v>0</v>
      </c>
      <c r="C138" s="54" t="s">
        <v>49</v>
      </c>
      <c r="D138" s="56">
        <v>0</v>
      </c>
      <c r="E138" s="54" t="s">
        <v>18</v>
      </c>
      <c r="F138" s="56">
        <v>0</v>
      </c>
    </row>
    <row r="139" spans="1:6" ht="35" customHeight="1" x14ac:dyDescent="0.15">
      <c r="A139" s="54" t="s">
        <v>19</v>
      </c>
      <c r="B139" s="56">
        <v>0</v>
      </c>
      <c r="C139" s="54" t="s">
        <v>35</v>
      </c>
      <c r="D139" s="56">
        <v>0</v>
      </c>
      <c r="E139" s="54" t="s">
        <v>36</v>
      </c>
      <c r="F139" s="56">
        <v>0</v>
      </c>
    </row>
    <row r="140" spans="1:6" ht="35" customHeight="1" x14ac:dyDescent="0.15">
      <c r="A140" s="54" t="s">
        <v>58</v>
      </c>
      <c r="B140" s="56">
        <v>0</v>
      </c>
      <c r="C140" s="54" t="s">
        <v>37</v>
      </c>
      <c r="D140" s="56">
        <v>0</v>
      </c>
      <c r="E140" s="54" t="s">
        <v>22</v>
      </c>
      <c r="F140" s="56">
        <v>0</v>
      </c>
    </row>
    <row r="141" spans="1:6" ht="35" customHeight="1" x14ac:dyDescent="0.15">
      <c r="A141" s="54" t="s">
        <v>23</v>
      </c>
      <c r="B141" s="56">
        <v>0</v>
      </c>
      <c r="C141" s="54" t="s">
        <v>38</v>
      </c>
      <c r="D141" s="56">
        <v>0</v>
      </c>
      <c r="E141" s="54" t="s">
        <v>39</v>
      </c>
      <c r="F141" s="56">
        <v>0</v>
      </c>
    </row>
    <row r="142" spans="1:6" ht="35" customHeight="1" x14ac:dyDescent="0.15">
      <c r="A142" s="54" t="s">
        <v>40</v>
      </c>
      <c r="B142" s="56">
        <v>0</v>
      </c>
      <c r="C142" s="54" t="s">
        <v>41</v>
      </c>
      <c r="D142" s="56">
        <v>0</v>
      </c>
      <c r="E142" s="54"/>
      <c r="F142" s="56">
        <v>0</v>
      </c>
    </row>
    <row r="143" spans="1:6" ht="35" customHeight="1" x14ac:dyDescent="0.15">
      <c r="A143" s="57" t="s">
        <v>128</v>
      </c>
      <c r="B143" s="56">
        <v>0</v>
      </c>
      <c r="C143" s="57" t="s">
        <v>130</v>
      </c>
      <c r="D143" s="56">
        <v>0</v>
      </c>
      <c r="E143" s="57" t="s">
        <v>133</v>
      </c>
      <c r="F143" s="56">
        <v>0</v>
      </c>
    </row>
    <row r="144" spans="1:6" ht="35" customHeight="1" x14ac:dyDescent="0.15">
      <c r="A144" s="57" t="s">
        <v>135</v>
      </c>
      <c r="B144" s="56">
        <v>0</v>
      </c>
      <c r="C144" s="57" t="s">
        <v>138</v>
      </c>
      <c r="D144" s="56">
        <v>0</v>
      </c>
      <c r="E144" s="57" t="s">
        <v>140</v>
      </c>
      <c r="F144" s="56">
        <v>0</v>
      </c>
    </row>
    <row r="145" spans="1:6" ht="35" customHeight="1" x14ac:dyDescent="0.15">
      <c r="A145" s="105" t="s">
        <v>42</v>
      </c>
      <c r="B145" s="106"/>
      <c r="C145" s="106"/>
      <c r="D145" s="106"/>
      <c r="E145" s="106"/>
      <c r="F145" s="56">
        <v>0</v>
      </c>
    </row>
    <row r="146" spans="1:6" ht="35" customHeight="1" x14ac:dyDescent="0.15">
      <c r="A146" s="52" t="s">
        <v>207</v>
      </c>
      <c r="B146" s="103">
        <v>46039</v>
      </c>
      <c r="C146" s="104"/>
      <c r="D146" s="104"/>
      <c r="E146" s="104"/>
      <c r="F146" s="104"/>
    </row>
    <row r="147" spans="1:6" ht="35" customHeight="1" x14ac:dyDescent="0.15">
      <c r="A147" s="54" t="s">
        <v>17</v>
      </c>
      <c r="B147" s="55">
        <v>0</v>
      </c>
      <c r="C147" s="54" t="s">
        <v>49</v>
      </c>
      <c r="D147" s="56">
        <v>0</v>
      </c>
      <c r="E147" s="54" t="s">
        <v>18</v>
      </c>
      <c r="F147" s="56">
        <v>0</v>
      </c>
    </row>
    <row r="148" spans="1:6" ht="35" customHeight="1" x14ac:dyDescent="0.15">
      <c r="A148" s="54" t="s">
        <v>19</v>
      </c>
      <c r="B148" s="56">
        <v>0</v>
      </c>
      <c r="C148" s="54" t="s">
        <v>35</v>
      </c>
      <c r="D148" s="56">
        <v>0</v>
      </c>
      <c r="E148" s="54" t="s">
        <v>36</v>
      </c>
      <c r="F148" s="56">
        <v>0</v>
      </c>
    </row>
    <row r="149" spans="1:6" ht="35" customHeight="1" x14ac:dyDescent="0.15">
      <c r="A149" s="54" t="s">
        <v>58</v>
      </c>
      <c r="B149" s="56">
        <v>0</v>
      </c>
      <c r="C149" s="54" t="s">
        <v>37</v>
      </c>
      <c r="D149" s="56">
        <v>0</v>
      </c>
      <c r="E149" s="54" t="s">
        <v>22</v>
      </c>
      <c r="F149" s="56">
        <v>0</v>
      </c>
    </row>
    <row r="150" spans="1:6" ht="35" customHeight="1" x14ac:dyDescent="0.15">
      <c r="A150" s="54" t="s">
        <v>23</v>
      </c>
      <c r="B150" s="56">
        <v>0</v>
      </c>
      <c r="C150" s="54" t="s">
        <v>38</v>
      </c>
      <c r="D150" s="56">
        <v>0</v>
      </c>
      <c r="E150" s="54" t="s">
        <v>39</v>
      </c>
      <c r="F150" s="56">
        <v>0</v>
      </c>
    </row>
    <row r="151" spans="1:6" ht="35" customHeight="1" x14ac:dyDescent="0.15">
      <c r="A151" s="54" t="s">
        <v>40</v>
      </c>
      <c r="B151" s="56">
        <v>0</v>
      </c>
      <c r="C151" s="54" t="s">
        <v>41</v>
      </c>
      <c r="D151" s="56">
        <v>0</v>
      </c>
      <c r="E151" s="54"/>
      <c r="F151" s="56">
        <v>0</v>
      </c>
    </row>
    <row r="152" spans="1:6" ht="35" customHeight="1" x14ac:dyDescent="0.15">
      <c r="A152" s="57" t="s">
        <v>128</v>
      </c>
      <c r="B152" s="56">
        <v>0</v>
      </c>
      <c r="C152" s="57" t="s">
        <v>130</v>
      </c>
      <c r="D152" s="56">
        <v>0</v>
      </c>
      <c r="E152" s="57" t="s">
        <v>133</v>
      </c>
      <c r="F152" s="56">
        <v>0</v>
      </c>
    </row>
    <row r="153" spans="1:6" ht="35" customHeight="1" x14ac:dyDescent="0.15">
      <c r="A153" s="57" t="s">
        <v>135</v>
      </c>
      <c r="B153" s="56">
        <v>0</v>
      </c>
      <c r="C153" s="57" t="s">
        <v>138</v>
      </c>
      <c r="D153" s="56">
        <v>0</v>
      </c>
      <c r="E153" s="57" t="s">
        <v>140</v>
      </c>
      <c r="F153" s="56">
        <v>0</v>
      </c>
    </row>
    <row r="154" spans="1:6" ht="35" customHeight="1" x14ac:dyDescent="0.15">
      <c r="A154" s="105" t="s">
        <v>42</v>
      </c>
      <c r="B154" s="106"/>
      <c r="C154" s="106"/>
      <c r="D154" s="106"/>
      <c r="E154" s="106"/>
      <c r="F154" s="56">
        <v>0</v>
      </c>
    </row>
    <row r="155" spans="1:6" ht="35" customHeight="1" x14ac:dyDescent="0.15">
      <c r="A155" s="52" t="s">
        <v>207</v>
      </c>
      <c r="B155" s="103">
        <v>46040</v>
      </c>
      <c r="C155" s="104"/>
      <c r="D155" s="104"/>
      <c r="E155" s="104"/>
      <c r="F155" s="104"/>
    </row>
    <row r="156" spans="1:6" ht="35" customHeight="1" x14ac:dyDescent="0.15">
      <c r="A156" s="54" t="s">
        <v>17</v>
      </c>
      <c r="B156" s="55">
        <v>0</v>
      </c>
      <c r="C156" s="54" t="s">
        <v>49</v>
      </c>
      <c r="D156" s="56">
        <v>0</v>
      </c>
      <c r="E156" s="54" t="s">
        <v>18</v>
      </c>
      <c r="F156" s="56">
        <v>0</v>
      </c>
    </row>
    <row r="157" spans="1:6" ht="35" customHeight="1" x14ac:dyDescent="0.15">
      <c r="A157" s="54" t="s">
        <v>19</v>
      </c>
      <c r="B157" s="56">
        <v>0</v>
      </c>
      <c r="C157" s="54" t="s">
        <v>35</v>
      </c>
      <c r="D157" s="56">
        <v>0</v>
      </c>
      <c r="E157" s="54" t="s">
        <v>36</v>
      </c>
      <c r="F157" s="56">
        <v>0</v>
      </c>
    </row>
    <row r="158" spans="1:6" ht="35" customHeight="1" x14ac:dyDescent="0.15">
      <c r="A158" s="54" t="s">
        <v>58</v>
      </c>
      <c r="B158" s="56">
        <v>0</v>
      </c>
      <c r="C158" s="54" t="s">
        <v>37</v>
      </c>
      <c r="D158" s="56">
        <v>0</v>
      </c>
      <c r="E158" s="54" t="s">
        <v>22</v>
      </c>
      <c r="F158" s="56">
        <v>0</v>
      </c>
    </row>
    <row r="159" spans="1:6" ht="35" customHeight="1" x14ac:dyDescent="0.15">
      <c r="A159" s="54" t="s">
        <v>23</v>
      </c>
      <c r="B159" s="56">
        <v>0</v>
      </c>
      <c r="C159" s="54" t="s">
        <v>38</v>
      </c>
      <c r="D159" s="56">
        <v>0</v>
      </c>
      <c r="E159" s="54" t="s">
        <v>39</v>
      </c>
      <c r="F159" s="56">
        <v>0</v>
      </c>
    </row>
    <row r="160" spans="1:6" ht="35" customHeight="1" x14ac:dyDescent="0.15">
      <c r="A160" s="54" t="s">
        <v>40</v>
      </c>
      <c r="B160" s="56">
        <v>0</v>
      </c>
      <c r="C160" s="54" t="s">
        <v>41</v>
      </c>
      <c r="D160" s="56">
        <v>0</v>
      </c>
      <c r="E160" s="54"/>
      <c r="F160" s="56">
        <v>0</v>
      </c>
    </row>
    <row r="161" spans="1:6" ht="35" customHeight="1" x14ac:dyDescent="0.15">
      <c r="A161" s="57" t="s">
        <v>128</v>
      </c>
      <c r="B161" s="56">
        <v>0</v>
      </c>
      <c r="C161" s="57" t="s">
        <v>130</v>
      </c>
      <c r="D161" s="56">
        <v>0</v>
      </c>
      <c r="E161" s="57" t="s">
        <v>133</v>
      </c>
      <c r="F161" s="56">
        <v>0</v>
      </c>
    </row>
    <row r="162" spans="1:6" ht="35" customHeight="1" x14ac:dyDescent="0.15">
      <c r="A162" s="57" t="s">
        <v>135</v>
      </c>
      <c r="B162" s="56">
        <v>0</v>
      </c>
      <c r="C162" s="57" t="s">
        <v>138</v>
      </c>
      <c r="D162" s="56">
        <v>0</v>
      </c>
      <c r="E162" s="57" t="s">
        <v>140</v>
      </c>
      <c r="F162" s="56">
        <v>0</v>
      </c>
    </row>
    <row r="163" spans="1:6" ht="35" customHeight="1" x14ac:dyDescent="0.15">
      <c r="A163" s="105" t="s">
        <v>42</v>
      </c>
      <c r="B163" s="106"/>
      <c r="C163" s="106"/>
      <c r="D163" s="106"/>
      <c r="E163" s="106"/>
      <c r="F163" s="56">
        <v>0</v>
      </c>
    </row>
    <row r="164" spans="1:6" ht="35" customHeight="1" x14ac:dyDescent="0.15">
      <c r="A164" s="52" t="s">
        <v>207</v>
      </c>
      <c r="B164" s="103">
        <v>46041</v>
      </c>
      <c r="C164" s="104"/>
      <c r="D164" s="104"/>
      <c r="E164" s="104"/>
      <c r="F164" s="104"/>
    </row>
    <row r="165" spans="1:6" ht="35" customHeight="1" x14ac:dyDescent="0.15">
      <c r="A165" s="54" t="s">
        <v>17</v>
      </c>
      <c r="B165" s="55">
        <v>0</v>
      </c>
      <c r="C165" s="54" t="s">
        <v>49</v>
      </c>
      <c r="D165" s="56">
        <v>0</v>
      </c>
      <c r="E165" s="54" t="s">
        <v>18</v>
      </c>
      <c r="F165" s="56">
        <v>0</v>
      </c>
    </row>
    <row r="166" spans="1:6" ht="35" customHeight="1" x14ac:dyDescent="0.15">
      <c r="A166" s="54" t="s">
        <v>19</v>
      </c>
      <c r="B166" s="56">
        <v>0</v>
      </c>
      <c r="C166" s="54" t="s">
        <v>35</v>
      </c>
      <c r="D166" s="56">
        <v>0</v>
      </c>
      <c r="E166" s="54" t="s">
        <v>36</v>
      </c>
      <c r="F166" s="56">
        <v>0</v>
      </c>
    </row>
    <row r="167" spans="1:6" ht="35" customHeight="1" x14ac:dyDescent="0.15">
      <c r="A167" s="54" t="s">
        <v>58</v>
      </c>
      <c r="B167" s="56">
        <v>0</v>
      </c>
      <c r="C167" s="54" t="s">
        <v>37</v>
      </c>
      <c r="D167" s="56">
        <v>0</v>
      </c>
      <c r="E167" s="54" t="s">
        <v>22</v>
      </c>
      <c r="F167" s="56">
        <v>0</v>
      </c>
    </row>
    <row r="168" spans="1:6" ht="35" customHeight="1" x14ac:dyDescent="0.15">
      <c r="A168" s="54" t="s">
        <v>23</v>
      </c>
      <c r="B168" s="56">
        <v>0</v>
      </c>
      <c r="C168" s="54" t="s">
        <v>38</v>
      </c>
      <c r="D168" s="56">
        <v>0</v>
      </c>
      <c r="E168" s="54" t="s">
        <v>39</v>
      </c>
      <c r="F168" s="56">
        <v>0</v>
      </c>
    </row>
    <row r="169" spans="1:6" ht="35" customHeight="1" x14ac:dyDescent="0.15">
      <c r="A169" s="54" t="s">
        <v>40</v>
      </c>
      <c r="B169" s="56">
        <v>0</v>
      </c>
      <c r="C169" s="54" t="s">
        <v>41</v>
      </c>
      <c r="D169" s="56">
        <v>0</v>
      </c>
      <c r="E169" s="54"/>
      <c r="F169" s="56">
        <v>0</v>
      </c>
    </row>
    <row r="170" spans="1:6" ht="35" customHeight="1" x14ac:dyDescent="0.15">
      <c r="A170" s="57" t="s">
        <v>128</v>
      </c>
      <c r="B170" s="56">
        <v>0</v>
      </c>
      <c r="C170" s="57" t="s">
        <v>130</v>
      </c>
      <c r="D170" s="56">
        <v>0</v>
      </c>
      <c r="E170" s="57" t="s">
        <v>133</v>
      </c>
      <c r="F170" s="56">
        <v>0</v>
      </c>
    </row>
    <row r="171" spans="1:6" ht="35" customHeight="1" x14ac:dyDescent="0.15">
      <c r="A171" s="57" t="s">
        <v>135</v>
      </c>
      <c r="B171" s="56">
        <v>0</v>
      </c>
      <c r="C171" s="57" t="s">
        <v>138</v>
      </c>
      <c r="D171" s="56">
        <v>0</v>
      </c>
      <c r="E171" s="57" t="s">
        <v>140</v>
      </c>
      <c r="F171" s="56">
        <v>0</v>
      </c>
    </row>
    <row r="172" spans="1:6" ht="35" customHeight="1" x14ac:dyDescent="0.15">
      <c r="A172" s="105" t="s">
        <v>42</v>
      </c>
      <c r="B172" s="106"/>
      <c r="C172" s="106"/>
      <c r="D172" s="106"/>
      <c r="E172" s="106"/>
      <c r="F172" s="56">
        <v>0</v>
      </c>
    </row>
    <row r="173" spans="1:6" ht="35" customHeight="1" x14ac:dyDescent="0.15">
      <c r="A173" s="52" t="s">
        <v>207</v>
      </c>
      <c r="B173" s="103">
        <v>46042</v>
      </c>
      <c r="C173" s="104"/>
      <c r="D173" s="104"/>
      <c r="E173" s="104"/>
      <c r="F173" s="104"/>
    </row>
    <row r="174" spans="1:6" ht="35" customHeight="1" x14ac:dyDescent="0.15">
      <c r="A174" s="54" t="s">
        <v>17</v>
      </c>
      <c r="B174" s="55">
        <v>0</v>
      </c>
      <c r="C174" s="54" t="s">
        <v>49</v>
      </c>
      <c r="D174" s="56">
        <v>0</v>
      </c>
      <c r="E174" s="54" t="s">
        <v>18</v>
      </c>
      <c r="F174" s="56">
        <v>0</v>
      </c>
    </row>
    <row r="175" spans="1:6" ht="35" customHeight="1" x14ac:dyDescent="0.15">
      <c r="A175" s="54" t="s">
        <v>19</v>
      </c>
      <c r="B175" s="56">
        <v>0</v>
      </c>
      <c r="C175" s="54" t="s">
        <v>35</v>
      </c>
      <c r="D175" s="56">
        <v>0</v>
      </c>
      <c r="E175" s="54" t="s">
        <v>36</v>
      </c>
      <c r="F175" s="56">
        <v>0</v>
      </c>
    </row>
    <row r="176" spans="1:6" ht="35" customHeight="1" x14ac:dyDescent="0.15">
      <c r="A176" s="54" t="s">
        <v>58</v>
      </c>
      <c r="B176" s="56">
        <v>0</v>
      </c>
      <c r="C176" s="54" t="s">
        <v>37</v>
      </c>
      <c r="D176" s="56">
        <v>0</v>
      </c>
      <c r="E176" s="54" t="s">
        <v>22</v>
      </c>
      <c r="F176" s="56">
        <v>0</v>
      </c>
    </row>
    <row r="177" spans="1:6" ht="35" customHeight="1" x14ac:dyDescent="0.15">
      <c r="A177" s="54" t="s">
        <v>23</v>
      </c>
      <c r="B177" s="56">
        <v>0</v>
      </c>
      <c r="C177" s="54" t="s">
        <v>38</v>
      </c>
      <c r="D177" s="56">
        <v>0</v>
      </c>
      <c r="E177" s="54" t="s">
        <v>39</v>
      </c>
      <c r="F177" s="56">
        <v>0</v>
      </c>
    </row>
    <row r="178" spans="1:6" ht="35" customHeight="1" x14ac:dyDescent="0.15">
      <c r="A178" s="54" t="s">
        <v>40</v>
      </c>
      <c r="B178" s="56">
        <v>0</v>
      </c>
      <c r="C178" s="54" t="s">
        <v>41</v>
      </c>
      <c r="D178" s="56">
        <v>0</v>
      </c>
      <c r="E178" s="54"/>
      <c r="F178" s="56">
        <v>0</v>
      </c>
    </row>
    <row r="179" spans="1:6" ht="35" customHeight="1" x14ac:dyDescent="0.15">
      <c r="A179" s="57" t="s">
        <v>128</v>
      </c>
      <c r="B179" s="56">
        <v>0</v>
      </c>
      <c r="C179" s="57" t="s">
        <v>130</v>
      </c>
      <c r="D179" s="56">
        <v>0</v>
      </c>
      <c r="E179" s="57" t="s">
        <v>133</v>
      </c>
      <c r="F179" s="56">
        <v>0</v>
      </c>
    </row>
    <row r="180" spans="1:6" ht="35" customHeight="1" x14ac:dyDescent="0.15">
      <c r="A180" s="57" t="s">
        <v>135</v>
      </c>
      <c r="B180" s="56">
        <v>0</v>
      </c>
      <c r="C180" s="57" t="s">
        <v>138</v>
      </c>
      <c r="D180" s="56">
        <v>0</v>
      </c>
      <c r="E180" s="57" t="s">
        <v>140</v>
      </c>
      <c r="F180" s="56">
        <v>0</v>
      </c>
    </row>
    <row r="181" spans="1:6" ht="35" customHeight="1" x14ac:dyDescent="0.15">
      <c r="A181" s="105" t="s">
        <v>42</v>
      </c>
      <c r="B181" s="106"/>
      <c r="C181" s="106"/>
      <c r="D181" s="106"/>
      <c r="E181" s="106"/>
      <c r="F181" s="56">
        <v>0</v>
      </c>
    </row>
    <row r="182" spans="1:6" ht="35" customHeight="1" x14ac:dyDescent="0.15">
      <c r="A182" s="52" t="s">
        <v>207</v>
      </c>
      <c r="B182" s="103">
        <v>46043</v>
      </c>
      <c r="C182" s="104"/>
      <c r="D182" s="104"/>
      <c r="E182" s="104"/>
      <c r="F182" s="104"/>
    </row>
    <row r="183" spans="1:6" ht="35" customHeight="1" x14ac:dyDescent="0.15">
      <c r="A183" s="54" t="s">
        <v>17</v>
      </c>
      <c r="B183" s="55">
        <v>0</v>
      </c>
      <c r="C183" s="54" t="s">
        <v>49</v>
      </c>
      <c r="D183" s="56">
        <v>0</v>
      </c>
      <c r="E183" s="54" t="s">
        <v>18</v>
      </c>
      <c r="F183" s="56">
        <v>0</v>
      </c>
    </row>
    <row r="184" spans="1:6" ht="35" customHeight="1" x14ac:dyDescent="0.15">
      <c r="A184" s="54" t="s">
        <v>19</v>
      </c>
      <c r="B184" s="56">
        <v>0</v>
      </c>
      <c r="C184" s="54" t="s">
        <v>35</v>
      </c>
      <c r="D184" s="56">
        <v>0</v>
      </c>
      <c r="E184" s="54" t="s">
        <v>36</v>
      </c>
      <c r="F184" s="56">
        <v>0</v>
      </c>
    </row>
    <row r="185" spans="1:6" ht="35" customHeight="1" x14ac:dyDescent="0.15">
      <c r="A185" s="54" t="s">
        <v>58</v>
      </c>
      <c r="B185" s="56">
        <v>0</v>
      </c>
      <c r="C185" s="54" t="s">
        <v>37</v>
      </c>
      <c r="D185" s="56">
        <v>0</v>
      </c>
      <c r="E185" s="54" t="s">
        <v>22</v>
      </c>
      <c r="F185" s="56">
        <v>0</v>
      </c>
    </row>
    <row r="186" spans="1:6" ht="35" customHeight="1" x14ac:dyDescent="0.15">
      <c r="A186" s="54" t="s">
        <v>23</v>
      </c>
      <c r="B186" s="56">
        <v>0</v>
      </c>
      <c r="C186" s="54" t="s">
        <v>38</v>
      </c>
      <c r="D186" s="56">
        <v>0</v>
      </c>
      <c r="E186" s="54" t="s">
        <v>39</v>
      </c>
      <c r="F186" s="56">
        <v>0</v>
      </c>
    </row>
    <row r="187" spans="1:6" ht="35" customHeight="1" x14ac:dyDescent="0.15">
      <c r="A187" s="54" t="s">
        <v>40</v>
      </c>
      <c r="B187" s="56">
        <v>0</v>
      </c>
      <c r="C187" s="54" t="s">
        <v>41</v>
      </c>
      <c r="D187" s="56">
        <v>0</v>
      </c>
      <c r="E187" s="54"/>
      <c r="F187" s="56">
        <v>0</v>
      </c>
    </row>
    <row r="188" spans="1:6" ht="35" customHeight="1" x14ac:dyDescent="0.15">
      <c r="A188" s="57" t="s">
        <v>128</v>
      </c>
      <c r="B188" s="56">
        <v>0</v>
      </c>
      <c r="C188" s="57" t="s">
        <v>130</v>
      </c>
      <c r="D188" s="56">
        <v>0</v>
      </c>
      <c r="E188" s="57" t="s">
        <v>133</v>
      </c>
      <c r="F188" s="56">
        <v>0</v>
      </c>
    </row>
    <row r="189" spans="1:6" ht="35" customHeight="1" x14ac:dyDescent="0.15">
      <c r="A189" s="57" t="s">
        <v>135</v>
      </c>
      <c r="B189" s="56">
        <v>0</v>
      </c>
      <c r="C189" s="57" t="s">
        <v>138</v>
      </c>
      <c r="D189" s="56">
        <v>0</v>
      </c>
      <c r="E189" s="57" t="s">
        <v>140</v>
      </c>
      <c r="F189" s="56">
        <v>0</v>
      </c>
    </row>
    <row r="190" spans="1:6" ht="35" customHeight="1" x14ac:dyDescent="0.15">
      <c r="A190" s="105" t="s">
        <v>42</v>
      </c>
      <c r="B190" s="106"/>
      <c r="C190" s="106"/>
      <c r="D190" s="106"/>
      <c r="E190" s="106"/>
      <c r="F190" s="56">
        <v>0</v>
      </c>
    </row>
    <row r="191" spans="1:6" ht="35" customHeight="1" x14ac:dyDescent="0.15">
      <c r="A191" s="52" t="s">
        <v>207</v>
      </c>
      <c r="B191" s="103">
        <v>46044</v>
      </c>
      <c r="C191" s="104"/>
      <c r="D191" s="104"/>
      <c r="E191" s="104"/>
      <c r="F191" s="104"/>
    </row>
    <row r="192" spans="1:6" ht="35" customHeight="1" x14ac:dyDescent="0.15">
      <c r="A192" s="54" t="s">
        <v>17</v>
      </c>
      <c r="B192" s="55">
        <v>0</v>
      </c>
      <c r="C192" s="54" t="s">
        <v>49</v>
      </c>
      <c r="D192" s="56">
        <v>0</v>
      </c>
      <c r="E192" s="54" t="s">
        <v>18</v>
      </c>
      <c r="F192" s="56">
        <v>0</v>
      </c>
    </row>
    <row r="193" spans="1:6" ht="35" customHeight="1" x14ac:dyDescent="0.15">
      <c r="A193" s="54" t="s">
        <v>19</v>
      </c>
      <c r="B193" s="56">
        <v>0</v>
      </c>
      <c r="C193" s="54" t="s">
        <v>35</v>
      </c>
      <c r="D193" s="56">
        <v>0</v>
      </c>
      <c r="E193" s="54" t="s">
        <v>36</v>
      </c>
      <c r="F193" s="56">
        <v>0</v>
      </c>
    </row>
    <row r="194" spans="1:6" ht="35" customHeight="1" x14ac:dyDescent="0.15">
      <c r="A194" s="54" t="s">
        <v>58</v>
      </c>
      <c r="B194" s="56">
        <v>0</v>
      </c>
      <c r="C194" s="54" t="s">
        <v>37</v>
      </c>
      <c r="D194" s="56">
        <v>0</v>
      </c>
      <c r="E194" s="54" t="s">
        <v>22</v>
      </c>
      <c r="F194" s="56">
        <v>0</v>
      </c>
    </row>
    <row r="195" spans="1:6" ht="35" customHeight="1" x14ac:dyDescent="0.15">
      <c r="A195" s="54" t="s">
        <v>23</v>
      </c>
      <c r="B195" s="56">
        <v>0</v>
      </c>
      <c r="C195" s="54" t="s">
        <v>38</v>
      </c>
      <c r="D195" s="56">
        <v>0</v>
      </c>
      <c r="E195" s="54" t="s">
        <v>39</v>
      </c>
      <c r="F195" s="56">
        <v>0</v>
      </c>
    </row>
    <row r="196" spans="1:6" ht="35" customHeight="1" x14ac:dyDescent="0.15">
      <c r="A196" s="54" t="s">
        <v>40</v>
      </c>
      <c r="B196" s="56">
        <v>0</v>
      </c>
      <c r="C196" s="54" t="s">
        <v>41</v>
      </c>
      <c r="D196" s="56">
        <v>0</v>
      </c>
      <c r="E196" s="54"/>
      <c r="F196" s="56">
        <v>0</v>
      </c>
    </row>
    <row r="197" spans="1:6" ht="35" customHeight="1" x14ac:dyDescent="0.15">
      <c r="A197" s="57" t="s">
        <v>128</v>
      </c>
      <c r="B197" s="56">
        <v>0</v>
      </c>
      <c r="C197" s="57" t="s">
        <v>130</v>
      </c>
      <c r="D197" s="56">
        <v>0</v>
      </c>
      <c r="E197" s="57" t="s">
        <v>133</v>
      </c>
      <c r="F197" s="56">
        <v>0</v>
      </c>
    </row>
    <row r="198" spans="1:6" ht="35" customHeight="1" x14ac:dyDescent="0.15">
      <c r="A198" s="57" t="s">
        <v>135</v>
      </c>
      <c r="B198" s="56">
        <v>0</v>
      </c>
      <c r="C198" s="57" t="s">
        <v>138</v>
      </c>
      <c r="D198" s="56">
        <v>0</v>
      </c>
      <c r="E198" s="57" t="s">
        <v>140</v>
      </c>
      <c r="F198" s="56">
        <v>0</v>
      </c>
    </row>
    <row r="199" spans="1:6" ht="35" customHeight="1" x14ac:dyDescent="0.15">
      <c r="A199" s="105" t="s">
        <v>42</v>
      </c>
      <c r="B199" s="106"/>
      <c r="C199" s="106"/>
      <c r="D199" s="106"/>
      <c r="E199" s="106"/>
      <c r="F199" s="56">
        <v>0</v>
      </c>
    </row>
    <row r="200" spans="1:6" ht="35" customHeight="1" x14ac:dyDescent="0.15">
      <c r="A200" s="52" t="s">
        <v>207</v>
      </c>
      <c r="B200" s="103">
        <v>46045</v>
      </c>
      <c r="C200" s="104"/>
      <c r="D200" s="104"/>
      <c r="E200" s="104"/>
      <c r="F200" s="104"/>
    </row>
    <row r="201" spans="1:6" ht="35" customHeight="1" x14ac:dyDescent="0.15">
      <c r="A201" s="54" t="s">
        <v>17</v>
      </c>
      <c r="B201" s="55">
        <v>0</v>
      </c>
      <c r="C201" s="54" t="s">
        <v>49</v>
      </c>
      <c r="D201" s="56">
        <v>0</v>
      </c>
      <c r="E201" s="54" t="s">
        <v>18</v>
      </c>
      <c r="F201" s="56">
        <v>0</v>
      </c>
    </row>
    <row r="202" spans="1:6" ht="35" customHeight="1" x14ac:dyDescent="0.15">
      <c r="A202" s="54" t="s">
        <v>19</v>
      </c>
      <c r="B202" s="56">
        <v>0</v>
      </c>
      <c r="C202" s="54" t="s">
        <v>35</v>
      </c>
      <c r="D202" s="56">
        <v>0</v>
      </c>
      <c r="E202" s="54" t="s">
        <v>36</v>
      </c>
      <c r="F202" s="56">
        <v>0</v>
      </c>
    </row>
    <row r="203" spans="1:6" ht="35" customHeight="1" x14ac:dyDescent="0.15">
      <c r="A203" s="54" t="s">
        <v>58</v>
      </c>
      <c r="B203" s="56">
        <v>0</v>
      </c>
      <c r="C203" s="54" t="s">
        <v>37</v>
      </c>
      <c r="D203" s="56">
        <v>0</v>
      </c>
      <c r="E203" s="54" t="s">
        <v>22</v>
      </c>
      <c r="F203" s="56">
        <v>0</v>
      </c>
    </row>
    <row r="204" spans="1:6" ht="35" customHeight="1" x14ac:dyDescent="0.15">
      <c r="A204" s="54" t="s">
        <v>23</v>
      </c>
      <c r="B204" s="56">
        <v>0</v>
      </c>
      <c r="C204" s="54" t="s">
        <v>38</v>
      </c>
      <c r="D204" s="56">
        <v>0</v>
      </c>
      <c r="E204" s="54" t="s">
        <v>39</v>
      </c>
      <c r="F204" s="56">
        <v>0</v>
      </c>
    </row>
    <row r="205" spans="1:6" ht="35" customHeight="1" x14ac:dyDescent="0.15">
      <c r="A205" s="54" t="s">
        <v>40</v>
      </c>
      <c r="B205" s="56">
        <v>0</v>
      </c>
      <c r="C205" s="54" t="s">
        <v>41</v>
      </c>
      <c r="D205" s="56">
        <v>0</v>
      </c>
      <c r="E205" s="54"/>
      <c r="F205" s="56">
        <v>0</v>
      </c>
    </row>
    <row r="206" spans="1:6" ht="35" customHeight="1" x14ac:dyDescent="0.15">
      <c r="A206" s="57" t="s">
        <v>128</v>
      </c>
      <c r="B206" s="56">
        <v>0</v>
      </c>
      <c r="C206" s="57" t="s">
        <v>130</v>
      </c>
      <c r="D206" s="56">
        <v>0</v>
      </c>
      <c r="E206" s="57" t="s">
        <v>133</v>
      </c>
      <c r="F206" s="56">
        <v>0</v>
      </c>
    </row>
    <row r="207" spans="1:6" ht="35" customHeight="1" x14ac:dyDescent="0.15">
      <c r="A207" s="57" t="s">
        <v>135</v>
      </c>
      <c r="B207" s="56">
        <v>0</v>
      </c>
      <c r="C207" s="57" t="s">
        <v>138</v>
      </c>
      <c r="D207" s="56">
        <v>0</v>
      </c>
      <c r="E207" s="57" t="s">
        <v>140</v>
      </c>
      <c r="F207" s="56">
        <v>0</v>
      </c>
    </row>
    <row r="208" spans="1:6" ht="35" customHeight="1" x14ac:dyDescent="0.15">
      <c r="A208" s="105" t="s">
        <v>42</v>
      </c>
      <c r="B208" s="106"/>
      <c r="C208" s="106"/>
      <c r="D208" s="106"/>
      <c r="E208" s="106"/>
      <c r="F208" s="56">
        <v>0</v>
      </c>
    </row>
    <row r="209" spans="1:6" ht="35" customHeight="1" x14ac:dyDescent="0.15">
      <c r="A209" s="52" t="s">
        <v>207</v>
      </c>
      <c r="B209" s="103">
        <v>46046</v>
      </c>
      <c r="C209" s="104"/>
      <c r="D209" s="104"/>
      <c r="E209" s="104"/>
      <c r="F209" s="104"/>
    </row>
    <row r="210" spans="1:6" ht="35" customHeight="1" x14ac:dyDescent="0.15">
      <c r="A210" s="54" t="s">
        <v>17</v>
      </c>
      <c r="B210" s="55">
        <v>0</v>
      </c>
      <c r="C210" s="54" t="s">
        <v>49</v>
      </c>
      <c r="D210" s="56">
        <v>0</v>
      </c>
      <c r="E210" s="54" t="s">
        <v>18</v>
      </c>
      <c r="F210" s="56">
        <v>0</v>
      </c>
    </row>
    <row r="211" spans="1:6" ht="35" customHeight="1" x14ac:dyDescent="0.15">
      <c r="A211" s="54" t="s">
        <v>19</v>
      </c>
      <c r="B211" s="56">
        <v>0</v>
      </c>
      <c r="C211" s="54" t="s">
        <v>35</v>
      </c>
      <c r="D211" s="56">
        <v>0</v>
      </c>
      <c r="E211" s="54" t="s">
        <v>36</v>
      </c>
      <c r="F211" s="56">
        <v>0</v>
      </c>
    </row>
    <row r="212" spans="1:6" ht="35" customHeight="1" x14ac:dyDescent="0.15">
      <c r="A212" s="54" t="s">
        <v>58</v>
      </c>
      <c r="B212" s="56">
        <v>0</v>
      </c>
      <c r="C212" s="54" t="s">
        <v>37</v>
      </c>
      <c r="D212" s="56">
        <v>0</v>
      </c>
      <c r="E212" s="54" t="s">
        <v>22</v>
      </c>
      <c r="F212" s="56">
        <v>0</v>
      </c>
    </row>
    <row r="213" spans="1:6" ht="35" customHeight="1" x14ac:dyDescent="0.15">
      <c r="A213" s="54" t="s">
        <v>23</v>
      </c>
      <c r="B213" s="56">
        <v>0</v>
      </c>
      <c r="C213" s="54" t="s">
        <v>38</v>
      </c>
      <c r="D213" s="56">
        <v>0</v>
      </c>
      <c r="E213" s="54" t="s">
        <v>39</v>
      </c>
      <c r="F213" s="56">
        <v>0</v>
      </c>
    </row>
    <row r="214" spans="1:6" ht="35" customHeight="1" x14ac:dyDescent="0.15">
      <c r="A214" s="54" t="s">
        <v>40</v>
      </c>
      <c r="B214" s="56">
        <v>0</v>
      </c>
      <c r="C214" s="54" t="s">
        <v>41</v>
      </c>
      <c r="D214" s="56">
        <v>0</v>
      </c>
      <c r="E214" s="54"/>
      <c r="F214" s="56">
        <v>0</v>
      </c>
    </row>
    <row r="215" spans="1:6" ht="35" customHeight="1" x14ac:dyDescent="0.15">
      <c r="A215" s="57" t="s">
        <v>128</v>
      </c>
      <c r="B215" s="56">
        <v>0</v>
      </c>
      <c r="C215" s="57" t="s">
        <v>130</v>
      </c>
      <c r="D215" s="56">
        <v>0</v>
      </c>
      <c r="E215" s="57" t="s">
        <v>133</v>
      </c>
      <c r="F215" s="56">
        <v>0</v>
      </c>
    </row>
    <row r="216" spans="1:6" ht="35" customHeight="1" x14ac:dyDescent="0.15">
      <c r="A216" s="57" t="s">
        <v>135</v>
      </c>
      <c r="B216" s="56">
        <v>0</v>
      </c>
      <c r="C216" s="57" t="s">
        <v>138</v>
      </c>
      <c r="D216" s="56">
        <v>0</v>
      </c>
      <c r="E216" s="57" t="s">
        <v>140</v>
      </c>
      <c r="F216" s="56">
        <v>0</v>
      </c>
    </row>
    <row r="217" spans="1:6" ht="35" customHeight="1" x14ac:dyDescent="0.15">
      <c r="A217" s="105" t="s">
        <v>42</v>
      </c>
      <c r="B217" s="106"/>
      <c r="C217" s="106"/>
      <c r="D217" s="106"/>
      <c r="E217" s="106"/>
      <c r="F217" s="56">
        <v>0</v>
      </c>
    </row>
    <row r="218" spans="1:6" ht="35" customHeight="1" x14ac:dyDescent="0.15">
      <c r="A218" s="52" t="s">
        <v>207</v>
      </c>
      <c r="B218" s="103">
        <v>46047</v>
      </c>
      <c r="C218" s="104"/>
      <c r="D218" s="104"/>
      <c r="E218" s="104"/>
      <c r="F218" s="104"/>
    </row>
    <row r="219" spans="1:6" ht="35" customHeight="1" x14ac:dyDescent="0.15">
      <c r="A219" s="54" t="s">
        <v>17</v>
      </c>
      <c r="B219" s="55">
        <v>0</v>
      </c>
      <c r="C219" s="54" t="s">
        <v>49</v>
      </c>
      <c r="D219" s="56">
        <v>0</v>
      </c>
      <c r="E219" s="54" t="s">
        <v>18</v>
      </c>
      <c r="F219" s="56">
        <v>0</v>
      </c>
    </row>
    <row r="220" spans="1:6" ht="35" customHeight="1" x14ac:dyDescent="0.15">
      <c r="A220" s="54" t="s">
        <v>19</v>
      </c>
      <c r="B220" s="56">
        <v>0</v>
      </c>
      <c r="C220" s="54" t="s">
        <v>35</v>
      </c>
      <c r="D220" s="56">
        <v>0</v>
      </c>
      <c r="E220" s="54" t="s">
        <v>36</v>
      </c>
      <c r="F220" s="56">
        <v>0</v>
      </c>
    </row>
    <row r="221" spans="1:6" ht="35" customHeight="1" x14ac:dyDescent="0.15">
      <c r="A221" s="54" t="s">
        <v>58</v>
      </c>
      <c r="B221" s="56">
        <v>0</v>
      </c>
      <c r="C221" s="54" t="s">
        <v>37</v>
      </c>
      <c r="D221" s="56">
        <v>0</v>
      </c>
      <c r="E221" s="54" t="s">
        <v>22</v>
      </c>
      <c r="F221" s="56">
        <v>0</v>
      </c>
    </row>
    <row r="222" spans="1:6" ht="35" customHeight="1" x14ac:dyDescent="0.15">
      <c r="A222" s="54" t="s">
        <v>23</v>
      </c>
      <c r="B222" s="56">
        <v>0</v>
      </c>
      <c r="C222" s="54" t="s">
        <v>38</v>
      </c>
      <c r="D222" s="56">
        <v>0</v>
      </c>
      <c r="E222" s="54" t="s">
        <v>39</v>
      </c>
      <c r="F222" s="56">
        <v>0</v>
      </c>
    </row>
    <row r="223" spans="1:6" ht="35" customHeight="1" x14ac:dyDescent="0.15">
      <c r="A223" s="54" t="s">
        <v>40</v>
      </c>
      <c r="B223" s="56">
        <v>0</v>
      </c>
      <c r="C223" s="54" t="s">
        <v>41</v>
      </c>
      <c r="D223" s="56">
        <v>0</v>
      </c>
      <c r="E223" s="54"/>
      <c r="F223" s="56">
        <v>0</v>
      </c>
    </row>
    <row r="224" spans="1:6" ht="35" customHeight="1" x14ac:dyDescent="0.15">
      <c r="A224" s="57" t="s">
        <v>128</v>
      </c>
      <c r="B224" s="56">
        <v>0</v>
      </c>
      <c r="C224" s="57" t="s">
        <v>130</v>
      </c>
      <c r="D224" s="56">
        <v>0</v>
      </c>
      <c r="E224" s="57" t="s">
        <v>133</v>
      </c>
      <c r="F224" s="56">
        <v>0</v>
      </c>
    </row>
    <row r="225" spans="1:6" ht="35" customHeight="1" x14ac:dyDescent="0.15">
      <c r="A225" s="57" t="s">
        <v>135</v>
      </c>
      <c r="B225" s="56">
        <v>0</v>
      </c>
      <c r="C225" s="57" t="s">
        <v>138</v>
      </c>
      <c r="D225" s="56">
        <v>0</v>
      </c>
      <c r="E225" s="57" t="s">
        <v>140</v>
      </c>
      <c r="F225" s="56">
        <v>0</v>
      </c>
    </row>
    <row r="226" spans="1:6" ht="35" customHeight="1" x14ac:dyDescent="0.15">
      <c r="A226" s="105" t="s">
        <v>42</v>
      </c>
      <c r="B226" s="106"/>
      <c r="C226" s="106"/>
      <c r="D226" s="106"/>
      <c r="E226" s="106"/>
      <c r="F226" s="56">
        <v>0</v>
      </c>
    </row>
    <row r="227" spans="1:6" ht="35" customHeight="1" x14ac:dyDescent="0.15">
      <c r="A227" s="52" t="s">
        <v>207</v>
      </c>
      <c r="B227" s="103">
        <v>46048</v>
      </c>
      <c r="C227" s="104"/>
      <c r="D227" s="104"/>
      <c r="E227" s="104"/>
      <c r="F227" s="104"/>
    </row>
    <row r="228" spans="1:6" ht="35" customHeight="1" x14ac:dyDescent="0.15">
      <c r="A228" s="54" t="s">
        <v>17</v>
      </c>
      <c r="B228" s="55">
        <v>0</v>
      </c>
      <c r="C228" s="54" t="s">
        <v>49</v>
      </c>
      <c r="D228" s="56">
        <v>0</v>
      </c>
      <c r="E228" s="54" t="s">
        <v>18</v>
      </c>
      <c r="F228" s="56">
        <v>0</v>
      </c>
    </row>
    <row r="229" spans="1:6" ht="35" customHeight="1" x14ac:dyDescent="0.15">
      <c r="A229" s="54" t="s">
        <v>19</v>
      </c>
      <c r="B229" s="56">
        <v>0</v>
      </c>
      <c r="C229" s="54" t="s">
        <v>35</v>
      </c>
      <c r="D229" s="56">
        <v>0</v>
      </c>
      <c r="E229" s="54" t="s">
        <v>36</v>
      </c>
      <c r="F229" s="56">
        <v>0</v>
      </c>
    </row>
    <row r="230" spans="1:6" ht="35" customHeight="1" x14ac:dyDescent="0.15">
      <c r="A230" s="54" t="s">
        <v>58</v>
      </c>
      <c r="B230" s="56">
        <v>0</v>
      </c>
      <c r="C230" s="54" t="s">
        <v>37</v>
      </c>
      <c r="D230" s="56">
        <v>0</v>
      </c>
      <c r="E230" s="54" t="s">
        <v>22</v>
      </c>
      <c r="F230" s="56">
        <v>0</v>
      </c>
    </row>
    <row r="231" spans="1:6" ht="35" customHeight="1" x14ac:dyDescent="0.15">
      <c r="A231" s="54" t="s">
        <v>23</v>
      </c>
      <c r="B231" s="56">
        <v>0</v>
      </c>
      <c r="C231" s="54" t="s">
        <v>38</v>
      </c>
      <c r="D231" s="56">
        <v>0</v>
      </c>
      <c r="E231" s="54" t="s">
        <v>39</v>
      </c>
      <c r="F231" s="56">
        <v>0</v>
      </c>
    </row>
    <row r="232" spans="1:6" ht="35" customHeight="1" x14ac:dyDescent="0.15">
      <c r="A232" s="54" t="s">
        <v>40</v>
      </c>
      <c r="B232" s="56">
        <v>0</v>
      </c>
      <c r="C232" s="54" t="s">
        <v>41</v>
      </c>
      <c r="D232" s="56">
        <v>0</v>
      </c>
      <c r="E232" s="54"/>
      <c r="F232" s="56">
        <v>0</v>
      </c>
    </row>
    <row r="233" spans="1:6" ht="35" customHeight="1" x14ac:dyDescent="0.15">
      <c r="A233" s="57" t="s">
        <v>128</v>
      </c>
      <c r="B233" s="56">
        <v>0</v>
      </c>
      <c r="C233" s="57" t="s">
        <v>130</v>
      </c>
      <c r="D233" s="56">
        <v>0</v>
      </c>
      <c r="E233" s="57" t="s">
        <v>133</v>
      </c>
      <c r="F233" s="56">
        <v>0</v>
      </c>
    </row>
    <row r="234" spans="1:6" ht="35" customHeight="1" x14ac:dyDescent="0.15">
      <c r="A234" s="57" t="s">
        <v>135</v>
      </c>
      <c r="B234" s="56">
        <v>0</v>
      </c>
      <c r="C234" s="57" t="s">
        <v>138</v>
      </c>
      <c r="D234" s="56">
        <v>0</v>
      </c>
      <c r="E234" s="57" t="s">
        <v>140</v>
      </c>
      <c r="F234" s="56">
        <v>0</v>
      </c>
    </row>
    <row r="235" spans="1:6" ht="35" customHeight="1" x14ac:dyDescent="0.15">
      <c r="A235" s="105" t="s">
        <v>42</v>
      </c>
      <c r="B235" s="106"/>
      <c r="C235" s="106"/>
      <c r="D235" s="106"/>
      <c r="E235" s="106"/>
      <c r="F235" s="56">
        <v>0</v>
      </c>
    </row>
    <row r="236" spans="1:6" ht="35" customHeight="1" x14ac:dyDescent="0.15">
      <c r="A236" s="52" t="s">
        <v>207</v>
      </c>
      <c r="B236" s="103">
        <v>46049</v>
      </c>
      <c r="C236" s="104"/>
      <c r="D236" s="104"/>
      <c r="E236" s="104"/>
      <c r="F236" s="104"/>
    </row>
    <row r="237" spans="1:6" ht="35" customHeight="1" x14ac:dyDescent="0.15">
      <c r="A237" s="54" t="s">
        <v>17</v>
      </c>
      <c r="B237" s="55">
        <v>0</v>
      </c>
      <c r="C237" s="54" t="s">
        <v>49</v>
      </c>
      <c r="D237" s="56">
        <v>0</v>
      </c>
      <c r="E237" s="54" t="s">
        <v>18</v>
      </c>
      <c r="F237" s="56">
        <v>0</v>
      </c>
    </row>
    <row r="238" spans="1:6" ht="35" customHeight="1" x14ac:dyDescent="0.15">
      <c r="A238" s="54" t="s">
        <v>19</v>
      </c>
      <c r="B238" s="56">
        <v>0</v>
      </c>
      <c r="C238" s="54" t="s">
        <v>35</v>
      </c>
      <c r="D238" s="56">
        <v>0</v>
      </c>
      <c r="E238" s="54" t="s">
        <v>36</v>
      </c>
      <c r="F238" s="56">
        <v>0</v>
      </c>
    </row>
    <row r="239" spans="1:6" ht="35" customHeight="1" x14ac:dyDescent="0.15">
      <c r="A239" s="54" t="s">
        <v>58</v>
      </c>
      <c r="B239" s="56">
        <v>0</v>
      </c>
      <c r="C239" s="54" t="s">
        <v>37</v>
      </c>
      <c r="D239" s="56">
        <v>0</v>
      </c>
      <c r="E239" s="54" t="s">
        <v>22</v>
      </c>
      <c r="F239" s="56">
        <v>0</v>
      </c>
    </row>
    <row r="240" spans="1:6" ht="35" customHeight="1" x14ac:dyDescent="0.15">
      <c r="A240" s="54" t="s">
        <v>23</v>
      </c>
      <c r="B240" s="56">
        <v>0</v>
      </c>
      <c r="C240" s="54" t="s">
        <v>38</v>
      </c>
      <c r="D240" s="56">
        <v>0</v>
      </c>
      <c r="E240" s="54" t="s">
        <v>39</v>
      </c>
      <c r="F240" s="56">
        <v>0</v>
      </c>
    </row>
    <row r="241" spans="1:6" ht="35" customHeight="1" x14ac:dyDescent="0.15">
      <c r="A241" s="54" t="s">
        <v>40</v>
      </c>
      <c r="B241" s="56">
        <v>0</v>
      </c>
      <c r="C241" s="54" t="s">
        <v>41</v>
      </c>
      <c r="D241" s="56">
        <v>0</v>
      </c>
      <c r="E241" s="54"/>
      <c r="F241" s="56">
        <v>0</v>
      </c>
    </row>
    <row r="242" spans="1:6" ht="35" customHeight="1" x14ac:dyDescent="0.15">
      <c r="A242" s="57" t="s">
        <v>128</v>
      </c>
      <c r="B242" s="56">
        <v>0</v>
      </c>
      <c r="C242" s="57" t="s">
        <v>130</v>
      </c>
      <c r="D242" s="56">
        <v>0</v>
      </c>
      <c r="E242" s="57" t="s">
        <v>133</v>
      </c>
      <c r="F242" s="56">
        <v>0</v>
      </c>
    </row>
    <row r="243" spans="1:6" ht="35" customHeight="1" x14ac:dyDescent="0.15">
      <c r="A243" s="57" t="s">
        <v>135</v>
      </c>
      <c r="B243" s="56">
        <v>0</v>
      </c>
      <c r="C243" s="57" t="s">
        <v>138</v>
      </c>
      <c r="D243" s="56">
        <v>0</v>
      </c>
      <c r="E243" s="57" t="s">
        <v>140</v>
      </c>
      <c r="F243" s="56">
        <v>0</v>
      </c>
    </row>
    <row r="244" spans="1:6" ht="35" customHeight="1" x14ac:dyDescent="0.15">
      <c r="A244" s="105" t="s">
        <v>42</v>
      </c>
      <c r="B244" s="106"/>
      <c r="C244" s="106"/>
      <c r="D244" s="106"/>
      <c r="E244" s="106"/>
      <c r="F244" s="56">
        <v>0</v>
      </c>
    </row>
    <row r="245" spans="1:6" ht="35" customHeight="1" x14ac:dyDescent="0.15">
      <c r="A245" s="52" t="s">
        <v>207</v>
      </c>
      <c r="B245" s="103">
        <v>46050</v>
      </c>
      <c r="C245" s="104"/>
      <c r="D245" s="104"/>
      <c r="E245" s="104"/>
      <c r="F245" s="104"/>
    </row>
    <row r="246" spans="1:6" ht="35" customHeight="1" x14ac:dyDescent="0.15">
      <c r="A246" s="54" t="s">
        <v>17</v>
      </c>
      <c r="B246" s="55">
        <v>0</v>
      </c>
      <c r="C246" s="54" t="s">
        <v>49</v>
      </c>
      <c r="D246" s="56">
        <v>0</v>
      </c>
      <c r="E246" s="54" t="s">
        <v>18</v>
      </c>
      <c r="F246" s="56">
        <v>0</v>
      </c>
    </row>
    <row r="247" spans="1:6" ht="35" customHeight="1" x14ac:dyDescent="0.15">
      <c r="A247" s="54" t="s">
        <v>19</v>
      </c>
      <c r="B247" s="56">
        <v>0</v>
      </c>
      <c r="C247" s="54" t="s">
        <v>35</v>
      </c>
      <c r="D247" s="56">
        <v>0</v>
      </c>
      <c r="E247" s="54" t="s">
        <v>36</v>
      </c>
      <c r="F247" s="56">
        <v>0</v>
      </c>
    </row>
    <row r="248" spans="1:6" ht="35" customHeight="1" x14ac:dyDescent="0.15">
      <c r="A248" s="54" t="s">
        <v>58</v>
      </c>
      <c r="B248" s="56">
        <v>0</v>
      </c>
      <c r="C248" s="54" t="s">
        <v>37</v>
      </c>
      <c r="D248" s="56">
        <v>0</v>
      </c>
      <c r="E248" s="54" t="s">
        <v>22</v>
      </c>
      <c r="F248" s="56">
        <v>0</v>
      </c>
    </row>
    <row r="249" spans="1:6" ht="35" customHeight="1" x14ac:dyDescent="0.15">
      <c r="A249" s="54" t="s">
        <v>23</v>
      </c>
      <c r="B249" s="56">
        <v>0</v>
      </c>
      <c r="C249" s="54" t="s">
        <v>38</v>
      </c>
      <c r="D249" s="56">
        <v>0</v>
      </c>
      <c r="E249" s="54" t="s">
        <v>39</v>
      </c>
      <c r="F249" s="56">
        <v>0</v>
      </c>
    </row>
    <row r="250" spans="1:6" ht="35" customHeight="1" x14ac:dyDescent="0.15">
      <c r="A250" s="54" t="s">
        <v>40</v>
      </c>
      <c r="B250" s="56">
        <v>0</v>
      </c>
      <c r="C250" s="54" t="s">
        <v>41</v>
      </c>
      <c r="D250" s="56">
        <v>0</v>
      </c>
      <c r="E250" s="54"/>
      <c r="F250" s="56">
        <v>0</v>
      </c>
    </row>
    <row r="251" spans="1:6" ht="35" customHeight="1" x14ac:dyDescent="0.15">
      <c r="A251" s="57" t="s">
        <v>128</v>
      </c>
      <c r="B251" s="56">
        <v>0</v>
      </c>
      <c r="C251" s="57" t="s">
        <v>130</v>
      </c>
      <c r="D251" s="56">
        <v>0</v>
      </c>
      <c r="E251" s="57" t="s">
        <v>133</v>
      </c>
      <c r="F251" s="56">
        <v>0</v>
      </c>
    </row>
    <row r="252" spans="1:6" ht="35" customHeight="1" x14ac:dyDescent="0.15">
      <c r="A252" s="57" t="s">
        <v>135</v>
      </c>
      <c r="B252" s="56">
        <v>0</v>
      </c>
      <c r="C252" s="57" t="s">
        <v>138</v>
      </c>
      <c r="D252" s="56">
        <v>0</v>
      </c>
      <c r="E252" s="57" t="s">
        <v>140</v>
      </c>
      <c r="F252" s="56">
        <v>0</v>
      </c>
    </row>
    <row r="253" spans="1:6" ht="35" customHeight="1" x14ac:dyDescent="0.15">
      <c r="A253" s="105" t="s">
        <v>42</v>
      </c>
      <c r="B253" s="106"/>
      <c r="C253" s="106"/>
      <c r="D253" s="106"/>
      <c r="E253" s="106"/>
      <c r="F253" s="56">
        <v>0</v>
      </c>
    </row>
    <row r="254" spans="1:6" ht="35" customHeight="1" x14ac:dyDescent="0.15">
      <c r="A254" s="52" t="s">
        <v>207</v>
      </c>
      <c r="B254" s="103">
        <v>46051</v>
      </c>
      <c r="C254" s="104"/>
      <c r="D254" s="104"/>
      <c r="E254" s="104"/>
      <c r="F254" s="104"/>
    </row>
    <row r="255" spans="1:6" ht="35" customHeight="1" x14ac:dyDescent="0.15">
      <c r="A255" s="54" t="s">
        <v>17</v>
      </c>
      <c r="B255" s="55">
        <v>0</v>
      </c>
      <c r="C255" s="54" t="s">
        <v>49</v>
      </c>
      <c r="D255" s="56">
        <v>0</v>
      </c>
      <c r="E255" s="54" t="s">
        <v>18</v>
      </c>
      <c r="F255" s="56">
        <v>0</v>
      </c>
    </row>
    <row r="256" spans="1:6" ht="35" customHeight="1" x14ac:dyDescent="0.15">
      <c r="A256" s="54" t="s">
        <v>19</v>
      </c>
      <c r="B256" s="56">
        <v>0</v>
      </c>
      <c r="C256" s="54" t="s">
        <v>35</v>
      </c>
      <c r="D256" s="56">
        <v>0</v>
      </c>
      <c r="E256" s="54" t="s">
        <v>36</v>
      </c>
      <c r="F256" s="56">
        <v>0</v>
      </c>
    </row>
    <row r="257" spans="1:6" ht="35" customHeight="1" x14ac:dyDescent="0.15">
      <c r="A257" s="54" t="s">
        <v>58</v>
      </c>
      <c r="B257" s="56">
        <v>0</v>
      </c>
      <c r="C257" s="54" t="s">
        <v>37</v>
      </c>
      <c r="D257" s="56">
        <v>0</v>
      </c>
      <c r="E257" s="54" t="s">
        <v>22</v>
      </c>
      <c r="F257" s="56">
        <v>0</v>
      </c>
    </row>
    <row r="258" spans="1:6" ht="35" customHeight="1" x14ac:dyDescent="0.15">
      <c r="A258" s="54" t="s">
        <v>23</v>
      </c>
      <c r="B258" s="56">
        <v>0</v>
      </c>
      <c r="C258" s="54" t="s">
        <v>38</v>
      </c>
      <c r="D258" s="56">
        <v>0</v>
      </c>
      <c r="E258" s="54" t="s">
        <v>39</v>
      </c>
      <c r="F258" s="56">
        <v>0</v>
      </c>
    </row>
    <row r="259" spans="1:6" ht="35" customHeight="1" x14ac:dyDescent="0.15">
      <c r="A259" s="54" t="s">
        <v>40</v>
      </c>
      <c r="B259" s="56">
        <v>0</v>
      </c>
      <c r="C259" s="54" t="s">
        <v>41</v>
      </c>
      <c r="D259" s="56">
        <v>0</v>
      </c>
      <c r="E259" s="54"/>
      <c r="F259" s="56">
        <v>0</v>
      </c>
    </row>
    <row r="260" spans="1:6" ht="35" customHeight="1" x14ac:dyDescent="0.15">
      <c r="A260" s="57" t="s">
        <v>128</v>
      </c>
      <c r="B260" s="56">
        <v>0</v>
      </c>
      <c r="C260" s="57" t="s">
        <v>130</v>
      </c>
      <c r="D260" s="56">
        <v>0</v>
      </c>
      <c r="E260" s="57" t="s">
        <v>133</v>
      </c>
      <c r="F260" s="56">
        <v>0</v>
      </c>
    </row>
    <row r="261" spans="1:6" ht="35" customHeight="1" x14ac:dyDescent="0.15">
      <c r="A261" s="57" t="s">
        <v>135</v>
      </c>
      <c r="B261" s="56">
        <v>0</v>
      </c>
      <c r="C261" s="57" t="s">
        <v>138</v>
      </c>
      <c r="D261" s="56">
        <v>0</v>
      </c>
      <c r="E261" s="57" t="s">
        <v>140</v>
      </c>
      <c r="F261" s="56">
        <v>0</v>
      </c>
    </row>
    <row r="262" spans="1:6" ht="35" customHeight="1" x14ac:dyDescent="0.15">
      <c r="A262" s="105" t="s">
        <v>42</v>
      </c>
      <c r="B262" s="106"/>
      <c r="C262" s="106"/>
      <c r="D262" s="106"/>
      <c r="E262" s="106"/>
      <c r="F262" s="56">
        <v>0</v>
      </c>
    </row>
    <row r="263" spans="1:6" ht="35" customHeight="1" x14ac:dyDescent="0.15">
      <c r="A263" s="52" t="s">
        <v>207</v>
      </c>
      <c r="B263" s="103">
        <v>46052</v>
      </c>
      <c r="C263" s="104"/>
      <c r="D263" s="104"/>
      <c r="E263" s="104"/>
      <c r="F263" s="104"/>
    </row>
    <row r="264" spans="1:6" ht="35" customHeight="1" x14ac:dyDescent="0.15">
      <c r="A264" s="54" t="s">
        <v>17</v>
      </c>
      <c r="B264" s="55">
        <v>0</v>
      </c>
      <c r="C264" s="54" t="s">
        <v>49</v>
      </c>
      <c r="D264" s="56">
        <v>0</v>
      </c>
      <c r="E264" s="54" t="s">
        <v>18</v>
      </c>
      <c r="F264" s="56">
        <v>0</v>
      </c>
    </row>
    <row r="265" spans="1:6" ht="35" customHeight="1" x14ac:dyDescent="0.15">
      <c r="A265" s="54" t="s">
        <v>19</v>
      </c>
      <c r="B265" s="56">
        <v>0</v>
      </c>
      <c r="C265" s="54" t="s">
        <v>35</v>
      </c>
      <c r="D265" s="56">
        <v>0</v>
      </c>
      <c r="E265" s="54" t="s">
        <v>36</v>
      </c>
      <c r="F265" s="56">
        <v>0</v>
      </c>
    </row>
    <row r="266" spans="1:6" ht="35" customHeight="1" x14ac:dyDescent="0.15">
      <c r="A266" s="54" t="s">
        <v>58</v>
      </c>
      <c r="B266" s="56">
        <v>0</v>
      </c>
      <c r="C266" s="54" t="s">
        <v>37</v>
      </c>
      <c r="D266" s="56">
        <v>0</v>
      </c>
      <c r="E266" s="54" t="s">
        <v>22</v>
      </c>
      <c r="F266" s="56">
        <v>0</v>
      </c>
    </row>
    <row r="267" spans="1:6" ht="35" customHeight="1" x14ac:dyDescent="0.15">
      <c r="A267" s="54" t="s">
        <v>23</v>
      </c>
      <c r="B267" s="56">
        <v>0</v>
      </c>
      <c r="C267" s="54" t="s">
        <v>38</v>
      </c>
      <c r="D267" s="56">
        <v>0</v>
      </c>
      <c r="E267" s="54" t="s">
        <v>39</v>
      </c>
      <c r="F267" s="56">
        <v>0</v>
      </c>
    </row>
    <row r="268" spans="1:6" ht="35" customHeight="1" x14ac:dyDescent="0.15">
      <c r="A268" s="54" t="s">
        <v>40</v>
      </c>
      <c r="B268" s="56">
        <v>0</v>
      </c>
      <c r="C268" s="54" t="s">
        <v>41</v>
      </c>
      <c r="D268" s="56">
        <v>0</v>
      </c>
      <c r="E268" s="54"/>
      <c r="F268" s="56">
        <v>0</v>
      </c>
    </row>
    <row r="269" spans="1:6" ht="35" customHeight="1" x14ac:dyDescent="0.15">
      <c r="A269" s="57" t="s">
        <v>128</v>
      </c>
      <c r="B269" s="56">
        <v>0</v>
      </c>
      <c r="C269" s="57" t="s">
        <v>130</v>
      </c>
      <c r="D269" s="56">
        <v>0</v>
      </c>
      <c r="E269" s="57" t="s">
        <v>133</v>
      </c>
      <c r="F269" s="56">
        <v>0</v>
      </c>
    </row>
    <row r="270" spans="1:6" ht="35" customHeight="1" x14ac:dyDescent="0.15">
      <c r="A270" s="57" t="s">
        <v>135</v>
      </c>
      <c r="B270" s="56">
        <v>0</v>
      </c>
      <c r="C270" s="57" t="s">
        <v>138</v>
      </c>
      <c r="D270" s="56">
        <v>0</v>
      </c>
      <c r="E270" s="57" t="s">
        <v>140</v>
      </c>
      <c r="F270" s="56">
        <v>0</v>
      </c>
    </row>
    <row r="271" spans="1:6" ht="35" customHeight="1" x14ac:dyDescent="0.15">
      <c r="A271" s="105" t="s">
        <v>42</v>
      </c>
      <c r="B271" s="106"/>
      <c r="C271" s="106"/>
      <c r="D271" s="106"/>
      <c r="E271" s="106"/>
      <c r="F271" s="56">
        <v>0</v>
      </c>
    </row>
    <row r="272" spans="1:6" ht="35" customHeight="1" x14ac:dyDescent="0.15">
      <c r="A272" s="52" t="s">
        <v>207</v>
      </c>
      <c r="B272" s="103">
        <v>46053</v>
      </c>
      <c r="C272" s="104"/>
      <c r="D272" s="104"/>
      <c r="E272" s="104"/>
      <c r="F272" s="104"/>
    </row>
    <row r="273" spans="1:6" ht="35" customHeight="1" x14ac:dyDescent="0.15">
      <c r="A273" s="54" t="s">
        <v>17</v>
      </c>
      <c r="B273" s="55">
        <v>0</v>
      </c>
      <c r="C273" s="54" t="s">
        <v>49</v>
      </c>
      <c r="D273" s="56">
        <v>0</v>
      </c>
      <c r="E273" s="54" t="s">
        <v>18</v>
      </c>
      <c r="F273" s="56">
        <v>0</v>
      </c>
    </row>
    <row r="274" spans="1:6" ht="35" customHeight="1" x14ac:dyDescent="0.15">
      <c r="A274" s="54" t="s">
        <v>19</v>
      </c>
      <c r="B274" s="56">
        <v>0</v>
      </c>
      <c r="C274" s="54" t="s">
        <v>35</v>
      </c>
      <c r="D274" s="56">
        <v>0</v>
      </c>
      <c r="E274" s="54" t="s">
        <v>36</v>
      </c>
      <c r="F274" s="56">
        <v>0</v>
      </c>
    </row>
    <row r="275" spans="1:6" ht="35" customHeight="1" x14ac:dyDescent="0.15">
      <c r="A275" s="54" t="s">
        <v>58</v>
      </c>
      <c r="B275" s="56">
        <v>0</v>
      </c>
      <c r="C275" s="54" t="s">
        <v>37</v>
      </c>
      <c r="D275" s="56">
        <v>0</v>
      </c>
      <c r="E275" s="54" t="s">
        <v>22</v>
      </c>
      <c r="F275" s="56">
        <v>0</v>
      </c>
    </row>
    <row r="276" spans="1:6" ht="35" customHeight="1" x14ac:dyDescent="0.15">
      <c r="A276" s="54" t="s">
        <v>23</v>
      </c>
      <c r="B276" s="56">
        <v>0</v>
      </c>
      <c r="C276" s="54" t="s">
        <v>38</v>
      </c>
      <c r="D276" s="56">
        <v>0</v>
      </c>
      <c r="E276" s="54" t="s">
        <v>39</v>
      </c>
      <c r="F276" s="56">
        <v>0</v>
      </c>
    </row>
    <row r="277" spans="1:6" ht="35" customHeight="1" x14ac:dyDescent="0.15">
      <c r="A277" s="54" t="s">
        <v>40</v>
      </c>
      <c r="B277" s="56">
        <v>0</v>
      </c>
      <c r="C277" s="54" t="s">
        <v>41</v>
      </c>
      <c r="D277" s="56">
        <v>0</v>
      </c>
      <c r="E277" s="54"/>
      <c r="F277" s="56">
        <v>0</v>
      </c>
    </row>
    <row r="278" spans="1:6" ht="35" customHeight="1" x14ac:dyDescent="0.15">
      <c r="A278" s="57" t="s">
        <v>128</v>
      </c>
      <c r="B278" s="56">
        <v>0</v>
      </c>
      <c r="C278" s="57" t="s">
        <v>130</v>
      </c>
      <c r="D278" s="56">
        <v>0</v>
      </c>
      <c r="E278" s="57" t="s">
        <v>133</v>
      </c>
      <c r="F278" s="56">
        <v>0</v>
      </c>
    </row>
    <row r="279" spans="1:6" ht="35" customHeight="1" x14ac:dyDescent="0.15">
      <c r="A279" s="57" t="s">
        <v>135</v>
      </c>
      <c r="B279" s="56">
        <v>0</v>
      </c>
      <c r="C279" s="57" t="s">
        <v>138</v>
      </c>
      <c r="D279" s="56">
        <v>0</v>
      </c>
      <c r="E279" s="57" t="s">
        <v>140</v>
      </c>
      <c r="F279" s="56">
        <v>0</v>
      </c>
    </row>
    <row r="280" spans="1:6" ht="35" customHeight="1" x14ac:dyDescent="0.15">
      <c r="A280" s="105" t="s">
        <v>42</v>
      </c>
      <c r="B280" s="106"/>
      <c r="C280" s="106"/>
      <c r="D280" s="106"/>
      <c r="E280" s="106"/>
      <c r="F280" s="56">
        <v>0</v>
      </c>
    </row>
  </sheetData>
  <mergeCells count="63">
    <mergeCell ref="A55:E55"/>
    <mergeCell ref="B2:F2"/>
    <mergeCell ref="A10:E10"/>
    <mergeCell ref="B11:F11"/>
    <mergeCell ref="A19:E19"/>
    <mergeCell ref="B20:F20"/>
    <mergeCell ref="A28:E28"/>
    <mergeCell ref="B29:F29"/>
    <mergeCell ref="A37:E37"/>
    <mergeCell ref="B38:F38"/>
    <mergeCell ref="A46:E46"/>
    <mergeCell ref="B47:F47"/>
    <mergeCell ref="B155:F155"/>
    <mergeCell ref="A109:E109"/>
    <mergeCell ref="B56:F56"/>
    <mergeCell ref="A64:E64"/>
    <mergeCell ref="B65:F65"/>
    <mergeCell ref="A73:E73"/>
    <mergeCell ref="B74:F74"/>
    <mergeCell ref="A82:E82"/>
    <mergeCell ref="B83:F83"/>
    <mergeCell ref="A91:E91"/>
    <mergeCell ref="B92:F92"/>
    <mergeCell ref="A100:E100"/>
    <mergeCell ref="B101:F101"/>
    <mergeCell ref="A136:E136"/>
    <mergeCell ref="B137:F137"/>
    <mergeCell ref="A145:E145"/>
    <mergeCell ref="B146:F146"/>
    <mergeCell ref="A154:E154"/>
    <mergeCell ref="B110:F110"/>
    <mergeCell ref="A118:E118"/>
    <mergeCell ref="B119:F119"/>
    <mergeCell ref="A127:E127"/>
    <mergeCell ref="B128:F128"/>
    <mergeCell ref="B209:F209"/>
    <mergeCell ref="A163:E163"/>
    <mergeCell ref="B173:F173"/>
    <mergeCell ref="A181:E181"/>
    <mergeCell ref="B182:F182"/>
    <mergeCell ref="A190:E190"/>
    <mergeCell ref="B191:F191"/>
    <mergeCell ref="B164:F164"/>
    <mergeCell ref="A172:E172"/>
    <mergeCell ref="A199:E199"/>
    <mergeCell ref="B200:F200"/>
    <mergeCell ref="A208:E208"/>
    <mergeCell ref="B272:F272"/>
    <mergeCell ref="A280:E280"/>
    <mergeCell ref="E1:F1"/>
    <mergeCell ref="A271:E271"/>
    <mergeCell ref="B218:F218"/>
    <mergeCell ref="A226:E226"/>
    <mergeCell ref="B227:F227"/>
    <mergeCell ref="A235:E235"/>
    <mergeCell ref="B236:F236"/>
    <mergeCell ref="A244:E244"/>
    <mergeCell ref="B245:F245"/>
    <mergeCell ref="A253:E253"/>
    <mergeCell ref="B254:F254"/>
    <mergeCell ref="A262:E262"/>
    <mergeCell ref="B263:F263"/>
    <mergeCell ref="A217:E217"/>
  </mergeCells>
  <dataValidations count="1">
    <dataValidation type="list" allowBlank="1" showInputMessage="1" showErrorMessage="1" sqref="B1" xr:uid="{A32882E9-61B8-42C6-AB01-41E9F0F82554}">
      <formula1>"January, February, March, April, May, June, July, August, November, October, November, December"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AF3F7-8175-104A-855B-9D8099F0C923}">
  <sheetPr codeName="Sheet72"/>
  <dimension ref="A1:H37"/>
  <sheetViews>
    <sheetView workbookViewId="0">
      <selection activeCell="D3" sqref="D3"/>
    </sheetView>
  </sheetViews>
  <sheetFormatPr baseColWidth="10" defaultColWidth="19.83203125" defaultRowHeight="35" customHeight="1" x14ac:dyDescent="0.15"/>
  <cols>
    <col min="1" max="1" width="26.1640625" style="11" bestFit="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32.1640625" style="11" bestFit="1" customWidth="1"/>
    <col min="9" max="16384" width="19.83203125" style="11"/>
  </cols>
  <sheetData>
    <row r="1" spans="1:8" ht="50" customHeight="1" x14ac:dyDescent="0.15">
      <c r="A1" s="59" t="s">
        <v>187</v>
      </c>
      <c r="B1" s="81" t="s">
        <v>94</v>
      </c>
      <c r="C1" s="59" t="s">
        <v>92</v>
      </c>
      <c r="D1" s="82">
        <v>2026</v>
      </c>
      <c r="E1" s="102"/>
      <c r="F1" s="102"/>
    </row>
    <row r="2" spans="1:8" ht="35" customHeight="1" x14ac:dyDescent="0.15">
      <c r="A2" s="58" t="s">
        <v>207</v>
      </c>
      <c r="B2" s="103">
        <v>46029</v>
      </c>
      <c r="C2" s="104"/>
      <c r="D2" s="104"/>
      <c r="E2" s="104"/>
      <c r="F2" s="104"/>
      <c r="G2" s="62"/>
      <c r="H2" s="63" t="s">
        <v>32</v>
      </c>
    </row>
    <row r="3" spans="1:8" ht="35" customHeight="1" x14ac:dyDescent="0.15">
      <c r="A3" s="54" t="s">
        <v>17</v>
      </c>
      <c r="B3" s="55">
        <v>135.38499999999999</v>
      </c>
      <c r="C3" s="54" t="s">
        <v>49</v>
      </c>
      <c r="D3" s="56">
        <v>646.03300000000002</v>
      </c>
      <c r="E3" s="54" t="s">
        <v>18</v>
      </c>
      <c r="F3" s="56">
        <v>70.171500000000009</v>
      </c>
      <c r="H3" s="10" t="s">
        <v>199</v>
      </c>
    </row>
    <row r="4" spans="1:8" ht="35" customHeight="1" x14ac:dyDescent="0.15">
      <c r="A4" s="54" t="s">
        <v>19</v>
      </c>
      <c r="B4" s="56">
        <v>15.5205</v>
      </c>
      <c r="C4" s="54" t="s">
        <v>35</v>
      </c>
      <c r="D4" s="56">
        <v>1346.557</v>
      </c>
      <c r="E4" s="54" t="s">
        <v>36</v>
      </c>
      <c r="F4" s="56">
        <v>1673.1799999999998</v>
      </c>
    </row>
    <row r="5" spans="1:8" ht="35" customHeight="1" x14ac:dyDescent="0.15">
      <c r="A5" s="54" t="s">
        <v>58</v>
      </c>
      <c r="B5" s="56">
        <v>283.42</v>
      </c>
      <c r="C5" s="54" t="s">
        <v>37</v>
      </c>
      <c r="D5" s="56">
        <v>30.884</v>
      </c>
      <c r="E5" s="54" t="s">
        <v>22</v>
      </c>
      <c r="F5" s="56">
        <v>3.7473000000000001</v>
      </c>
    </row>
    <row r="6" spans="1:8" ht="35" customHeight="1" x14ac:dyDescent="0.15">
      <c r="A6" s="54" t="s">
        <v>23</v>
      </c>
      <c r="B6" s="56">
        <v>1.4931E-2</v>
      </c>
      <c r="C6" s="54" t="s">
        <v>38</v>
      </c>
      <c r="D6" s="56">
        <v>24.349</v>
      </c>
      <c r="E6" s="54" t="s">
        <v>39</v>
      </c>
      <c r="F6" s="56">
        <v>15.3513</v>
      </c>
    </row>
    <row r="7" spans="1:8" ht="35" customHeight="1" x14ac:dyDescent="0.15">
      <c r="A7" s="54" t="s">
        <v>40</v>
      </c>
      <c r="B7" s="56">
        <v>344.73</v>
      </c>
      <c r="C7" s="54" t="s">
        <v>41</v>
      </c>
      <c r="D7" s="56">
        <v>4533.33</v>
      </c>
      <c r="E7" s="54"/>
      <c r="F7" s="56">
        <v>0</v>
      </c>
    </row>
    <row r="8" spans="1:8" ht="35" customHeight="1" x14ac:dyDescent="0.15">
      <c r="A8" s="57" t="s">
        <v>128</v>
      </c>
      <c r="B8" s="56">
        <v>102</v>
      </c>
      <c r="C8" s="57" t="s">
        <v>130</v>
      </c>
      <c r="D8" s="56">
        <v>10.8</v>
      </c>
      <c r="E8" s="57" t="s">
        <v>133</v>
      </c>
      <c r="F8" s="56">
        <v>0</v>
      </c>
    </row>
    <row r="9" spans="1:8" ht="35" customHeight="1" x14ac:dyDescent="0.15">
      <c r="A9" s="57" t="s">
        <v>135</v>
      </c>
      <c r="B9" s="56">
        <v>0</v>
      </c>
      <c r="C9" s="57" t="s">
        <v>138</v>
      </c>
      <c r="D9" s="56">
        <v>0</v>
      </c>
      <c r="E9" s="57" t="s">
        <v>140</v>
      </c>
      <c r="F9" s="56">
        <v>0</v>
      </c>
    </row>
    <row r="10" spans="1:8" ht="35" customHeight="1" x14ac:dyDescent="0.15">
      <c r="A10" s="105" t="s">
        <v>42</v>
      </c>
      <c r="B10" s="106"/>
      <c r="C10" s="106"/>
      <c r="D10" s="106"/>
      <c r="E10" s="106"/>
      <c r="F10" s="56">
        <v>3590.0050000000001</v>
      </c>
    </row>
    <row r="11" spans="1:8" ht="35" customHeight="1" x14ac:dyDescent="0.15">
      <c r="A11" s="58" t="s">
        <v>207</v>
      </c>
      <c r="B11" s="103">
        <v>46036</v>
      </c>
      <c r="C11" s="104"/>
      <c r="D11" s="104"/>
      <c r="E11" s="104"/>
      <c r="F11" s="104"/>
    </row>
    <row r="12" spans="1:8" ht="35" customHeight="1" x14ac:dyDescent="0.15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</row>
    <row r="13" spans="1:8" ht="35" customHeight="1" x14ac:dyDescent="0.15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</row>
    <row r="14" spans="1:8" ht="35" customHeight="1" x14ac:dyDescent="0.15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15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15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6" ht="35" customHeight="1" x14ac:dyDescent="0.15">
      <c r="A17" s="57" t="s">
        <v>128</v>
      </c>
      <c r="B17" s="56">
        <v>0</v>
      </c>
      <c r="C17" s="57" t="s">
        <v>130</v>
      </c>
      <c r="D17" s="56">
        <v>0</v>
      </c>
      <c r="E17" s="57" t="s">
        <v>133</v>
      </c>
      <c r="F17" s="56">
        <v>0</v>
      </c>
    </row>
    <row r="18" spans="1:6" ht="35" customHeight="1" x14ac:dyDescent="0.15">
      <c r="A18" s="57" t="s">
        <v>135</v>
      </c>
      <c r="B18" s="56">
        <v>0</v>
      </c>
      <c r="C18" s="57" t="s">
        <v>138</v>
      </c>
      <c r="D18" s="56">
        <v>0</v>
      </c>
      <c r="E18" s="57" t="s">
        <v>140</v>
      </c>
      <c r="F18" s="56">
        <v>0</v>
      </c>
    </row>
    <row r="19" spans="1:6" ht="35" customHeight="1" x14ac:dyDescent="0.15">
      <c r="A19" s="105" t="s">
        <v>42</v>
      </c>
      <c r="B19" s="106"/>
      <c r="C19" s="106"/>
      <c r="D19" s="106"/>
      <c r="E19" s="106"/>
      <c r="F19" s="56">
        <v>0</v>
      </c>
    </row>
    <row r="20" spans="1:6" ht="35" customHeight="1" x14ac:dyDescent="0.15">
      <c r="A20" s="58" t="s">
        <v>207</v>
      </c>
      <c r="B20" s="103">
        <v>46043</v>
      </c>
      <c r="C20" s="104"/>
      <c r="D20" s="104"/>
      <c r="E20" s="104"/>
      <c r="F20" s="104"/>
    </row>
    <row r="21" spans="1:6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6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6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6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6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6" ht="35" customHeight="1" x14ac:dyDescent="0.15">
      <c r="A26" s="57" t="s">
        <v>128</v>
      </c>
      <c r="B26" s="56">
        <v>0</v>
      </c>
      <c r="C26" s="57" t="s">
        <v>130</v>
      </c>
      <c r="D26" s="56">
        <v>0</v>
      </c>
      <c r="E26" s="57" t="s">
        <v>133</v>
      </c>
      <c r="F26" s="56">
        <v>0</v>
      </c>
    </row>
    <row r="27" spans="1:6" ht="35" customHeight="1" x14ac:dyDescent="0.15">
      <c r="A27" s="57" t="s">
        <v>135</v>
      </c>
      <c r="B27" s="56">
        <v>0</v>
      </c>
      <c r="C27" s="57" t="s">
        <v>138</v>
      </c>
      <c r="D27" s="56">
        <v>0</v>
      </c>
      <c r="E27" s="57" t="s">
        <v>140</v>
      </c>
      <c r="F27" s="56">
        <v>0</v>
      </c>
    </row>
    <row r="28" spans="1:6" ht="35" customHeight="1" x14ac:dyDescent="0.15">
      <c r="A28" s="105" t="s">
        <v>42</v>
      </c>
      <c r="B28" s="106"/>
      <c r="C28" s="106"/>
      <c r="D28" s="106"/>
      <c r="E28" s="106"/>
      <c r="F28" s="56">
        <v>0</v>
      </c>
    </row>
    <row r="29" spans="1:6" ht="35" customHeight="1" x14ac:dyDescent="0.15">
      <c r="A29" s="58" t="s">
        <v>207</v>
      </c>
      <c r="B29" s="103">
        <v>46050</v>
      </c>
      <c r="C29" s="104"/>
      <c r="D29" s="104"/>
      <c r="E29" s="104"/>
      <c r="F29" s="104"/>
    </row>
    <row r="30" spans="1:6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6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6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6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6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6" ht="35" customHeight="1" x14ac:dyDescent="0.15">
      <c r="A35" s="57" t="s">
        <v>128</v>
      </c>
      <c r="B35" s="56">
        <v>0</v>
      </c>
      <c r="C35" s="57" t="s">
        <v>130</v>
      </c>
      <c r="D35" s="56">
        <v>0</v>
      </c>
      <c r="E35" s="57" t="s">
        <v>133</v>
      </c>
      <c r="F35" s="56">
        <v>0</v>
      </c>
    </row>
    <row r="36" spans="1:6" ht="35" customHeight="1" x14ac:dyDescent="0.15">
      <c r="A36" s="57" t="s">
        <v>135</v>
      </c>
      <c r="B36" s="56">
        <v>0</v>
      </c>
      <c r="C36" s="57" t="s">
        <v>138</v>
      </c>
      <c r="D36" s="56">
        <v>0</v>
      </c>
      <c r="E36" s="57" t="s">
        <v>140</v>
      </c>
      <c r="F36" s="56">
        <v>0</v>
      </c>
    </row>
    <row r="37" spans="1:6" ht="35" customHeight="1" x14ac:dyDescent="0.15">
      <c r="A37" s="105" t="s">
        <v>42</v>
      </c>
      <c r="B37" s="106"/>
      <c r="C37" s="106"/>
      <c r="D37" s="106"/>
      <c r="E37" s="106"/>
      <c r="F37" s="56">
        <v>0</v>
      </c>
    </row>
  </sheetData>
  <mergeCells count="9">
    <mergeCell ref="A28:E28"/>
    <mergeCell ref="B29:F29"/>
    <mergeCell ref="A37:E37"/>
    <mergeCell ref="E1:F1"/>
    <mergeCell ref="B2:F2"/>
    <mergeCell ref="A10:E10"/>
    <mergeCell ref="B11:F11"/>
    <mergeCell ref="A19:E19"/>
    <mergeCell ref="B20:F20"/>
  </mergeCells>
  <dataValidations count="1">
    <dataValidation type="list" allowBlank="1" showInputMessage="1" showErrorMessage="1" sqref="B1" xr:uid="{126ADF3E-AC30-6746-88D2-F831E667CC21}">
      <formula1>"January, February, March, April, May, June, July, August, September, October, November, December"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A86D4-8048-D340-A7FE-0F27EA6F6501}">
  <sheetPr codeName="Sheet75"/>
  <dimension ref="A1:H109"/>
  <sheetViews>
    <sheetView workbookViewId="0">
      <selection activeCell="I96" sqref="I96"/>
    </sheetView>
  </sheetViews>
  <sheetFormatPr baseColWidth="10" defaultColWidth="19.83203125" defaultRowHeight="35" customHeight="1" x14ac:dyDescent="0.15"/>
  <cols>
    <col min="1" max="1" width="25.6640625" style="11" customWidth="1"/>
    <col min="2" max="2" width="20.6640625" style="11" customWidth="1"/>
    <col min="3" max="3" width="25.6640625" style="11" customWidth="1"/>
    <col min="4" max="4" width="20.6640625" style="11" customWidth="1"/>
    <col min="5" max="5" width="25.6640625" style="11" customWidth="1"/>
    <col min="6" max="6" width="10.6640625" style="11" customWidth="1"/>
    <col min="7" max="7" width="19.83203125" style="11"/>
    <col min="8" max="8" width="32.1640625" style="11" bestFit="1" customWidth="1"/>
    <col min="9" max="16384" width="19.83203125" style="11"/>
  </cols>
  <sheetData>
    <row r="1" spans="1:8" ht="50" customHeight="1" x14ac:dyDescent="0.15">
      <c r="A1" s="59" t="s">
        <v>92</v>
      </c>
      <c r="B1" s="107">
        <v>2026</v>
      </c>
      <c r="C1" s="108"/>
      <c r="D1" s="109"/>
      <c r="E1" s="102"/>
      <c r="F1" s="102"/>
    </row>
    <row r="2" spans="1:8" ht="35" customHeight="1" x14ac:dyDescent="0.15">
      <c r="A2" s="58" t="s">
        <v>207</v>
      </c>
      <c r="B2" s="103">
        <v>46023</v>
      </c>
      <c r="C2" s="104"/>
      <c r="D2" s="104"/>
      <c r="E2" s="104"/>
      <c r="F2" s="104"/>
      <c r="G2" s="62"/>
      <c r="H2" s="63" t="s">
        <v>32</v>
      </c>
    </row>
    <row r="3" spans="1:8" ht="35" customHeight="1" x14ac:dyDescent="0.15">
      <c r="A3" s="54" t="s">
        <v>17</v>
      </c>
      <c r="B3" s="55">
        <v>135.38500000000002</v>
      </c>
      <c r="C3" s="54" t="s">
        <v>49</v>
      </c>
      <c r="D3" s="56">
        <v>646.03300000000013</v>
      </c>
      <c r="E3" s="54" t="s">
        <v>18</v>
      </c>
      <c r="F3" s="56">
        <v>70.171500000000009</v>
      </c>
      <c r="H3" s="10" t="s">
        <v>180</v>
      </c>
    </row>
    <row r="4" spans="1:8" ht="35" customHeight="1" x14ac:dyDescent="0.15">
      <c r="A4" s="54" t="s">
        <v>19</v>
      </c>
      <c r="B4" s="56">
        <v>15.520499999999998</v>
      </c>
      <c r="C4" s="54" t="s">
        <v>35</v>
      </c>
      <c r="D4" s="56">
        <v>1346.5569999999998</v>
      </c>
      <c r="E4" s="54" t="s">
        <v>36</v>
      </c>
      <c r="F4" s="56">
        <v>1673.18</v>
      </c>
      <c r="H4" s="80" t="s">
        <v>170</v>
      </c>
    </row>
    <row r="5" spans="1:8" ht="35" customHeight="1" x14ac:dyDescent="0.15">
      <c r="A5" s="54" t="s">
        <v>58</v>
      </c>
      <c r="B5" s="56">
        <v>283.42</v>
      </c>
      <c r="C5" s="54" t="s">
        <v>37</v>
      </c>
      <c r="D5" s="56">
        <v>30.884</v>
      </c>
      <c r="E5" s="54" t="s">
        <v>22</v>
      </c>
      <c r="F5" s="56">
        <v>3.7473000000000005</v>
      </c>
      <c r="H5" s="80" t="s">
        <v>171</v>
      </c>
    </row>
    <row r="6" spans="1:8" ht="35" customHeight="1" x14ac:dyDescent="0.15">
      <c r="A6" s="54" t="s">
        <v>23</v>
      </c>
      <c r="B6" s="56">
        <v>1.4931E-2</v>
      </c>
      <c r="C6" s="54" t="s">
        <v>38</v>
      </c>
      <c r="D6" s="56">
        <v>24.349</v>
      </c>
      <c r="E6" s="54" t="s">
        <v>39</v>
      </c>
      <c r="F6" s="56">
        <v>15.3513</v>
      </c>
      <c r="H6" s="80" t="s">
        <v>172</v>
      </c>
    </row>
    <row r="7" spans="1:8" ht="35" customHeight="1" x14ac:dyDescent="0.15">
      <c r="A7" s="54" t="s">
        <v>40</v>
      </c>
      <c r="B7" s="56">
        <v>344.73</v>
      </c>
      <c r="C7" s="54" t="s">
        <v>41</v>
      </c>
      <c r="D7" s="56">
        <v>4533.33</v>
      </c>
      <c r="E7" s="54"/>
      <c r="F7" s="56">
        <v>0</v>
      </c>
      <c r="H7" s="80" t="s">
        <v>173</v>
      </c>
    </row>
    <row r="8" spans="1:8" ht="35" customHeight="1" x14ac:dyDescent="0.15">
      <c r="A8" s="57" t="s">
        <v>128</v>
      </c>
      <c r="B8" s="56">
        <v>102</v>
      </c>
      <c r="C8" s="57" t="s">
        <v>130</v>
      </c>
      <c r="D8" s="56">
        <v>10.8</v>
      </c>
      <c r="E8" s="57" t="s">
        <v>133</v>
      </c>
      <c r="F8" s="56">
        <v>0</v>
      </c>
      <c r="H8" s="80" t="s">
        <v>174</v>
      </c>
    </row>
    <row r="9" spans="1:8" ht="35" customHeight="1" x14ac:dyDescent="0.15">
      <c r="A9" s="57" t="s">
        <v>135</v>
      </c>
      <c r="B9" s="56">
        <v>0</v>
      </c>
      <c r="C9" s="57" t="s">
        <v>138</v>
      </c>
      <c r="D9" s="56">
        <v>0</v>
      </c>
      <c r="E9" s="57" t="s">
        <v>140</v>
      </c>
      <c r="F9" s="56">
        <v>0</v>
      </c>
      <c r="H9" s="80" t="s">
        <v>175</v>
      </c>
    </row>
    <row r="10" spans="1:8" ht="35" customHeight="1" x14ac:dyDescent="0.15">
      <c r="A10" s="105" t="s">
        <v>42</v>
      </c>
      <c r="B10" s="106"/>
      <c r="C10" s="106"/>
      <c r="D10" s="106"/>
      <c r="E10" s="106"/>
      <c r="F10" s="56">
        <v>3590.0050000000001</v>
      </c>
      <c r="H10" s="80" t="s">
        <v>176</v>
      </c>
    </row>
    <row r="11" spans="1:8" ht="35" customHeight="1" x14ac:dyDescent="0.15">
      <c r="A11" s="58" t="s">
        <v>207</v>
      </c>
      <c r="B11" s="103">
        <v>46054</v>
      </c>
      <c r="C11" s="104"/>
      <c r="D11" s="104"/>
      <c r="E11" s="104"/>
      <c r="F11" s="104"/>
      <c r="H11" s="80" t="s">
        <v>178</v>
      </c>
    </row>
    <row r="12" spans="1:8" ht="35" customHeight="1" x14ac:dyDescent="0.15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  <c r="H12" s="80" t="s">
        <v>177</v>
      </c>
    </row>
    <row r="13" spans="1:8" ht="35" customHeight="1" x14ac:dyDescent="0.15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  <c r="H13" s="80" t="s">
        <v>179</v>
      </c>
    </row>
    <row r="14" spans="1:8" ht="35" customHeight="1" x14ac:dyDescent="0.15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15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15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6" ht="35" customHeight="1" x14ac:dyDescent="0.15">
      <c r="A17" s="57" t="s">
        <v>128</v>
      </c>
      <c r="B17" s="56">
        <v>0</v>
      </c>
      <c r="C17" s="57" t="s">
        <v>130</v>
      </c>
      <c r="D17" s="56">
        <v>0</v>
      </c>
      <c r="E17" s="57" t="s">
        <v>133</v>
      </c>
      <c r="F17" s="56">
        <v>0</v>
      </c>
    </row>
    <row r="18" spans="1:6" ht="35" customHeight="1" x14ac:dyDescent="0.15">
      <c r="A18" s="57" t="s">
        <v>135</v>
      </c>
      <c r="B18" s="56">
        <v>0</v>
      </c>
      <c r="C18" s="57" t="s">
        <v>138</v>
      </c>
      <c r="D18" s="56">
        <v>0</v>
      </c>
      <c r="E18" s="57" t="s">
        <v>140</v>
      </c>
      <c r="F18" s="56">
        <v>0</v>
      </c>
    </row>
    <row r="19" spans="1:6" ht="35" customHeight="1" x14ac:dyDescent="0.15">
      <c r="A19" s="105" t="s">
        <v>42</v>
      </c>
      <c r="B19" s="106"/>
      <c r="C19" s="106"/>
      <c r="D19" s="106"/>
      <c r="E19" s="106"/>
      <c r="F19" s="56">
        <v>0</v>
      </c>
    </row>
    <row r="20" spans="1:6" ht="35" customHeight="1" x14ac:dyDescent="0.15">
      <c r="A20" s="58" t="s">
        <v>207</v>
      </c>
      <c r="B20" s="103">
        <v>46082</v>
      </c>
      <c r="C20" s="104"/>
      <c r="D20" s="104"/>
      <c r="E20" s="104"/>
      <c r="F20" s="104"/>
    </row>
    <row r="21" spans="1:6" ht="35" customHeight="1" x14ac:dyDescent="0.15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6" ht="35" customHeight="1" x14ac:dyDescent="0.15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6" ht="35" customHeight="1" x14ac:dyDescent="0.15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6" ht="35" customHeight="1" x14ac:dyDescent="0.15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6" ht="35" customHeight="1" x14ac:dyDescent="0.15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6" ht="35" customHeight="1" x14ac:dyDescent="0.15">
      <c r="A26" s="57" t="s">
        <v>128</v>
      </c>
      <c r="B26" s="56">
        <v>0</v>
      </c>
      <c r="C26" s="57" t="s">
        <v>130</v>
      </c>
      <c r="D26" s="56">
        <v>0</v>
      </c>
      <c r="E26" s="57" t="s">
        <v>133</v>
      </c>
      <c r="F26" s="56">
        <v>0</v>
      </c>
    </row>
    <row r="27" spans="1:6" ht="35" customHeight="1" x14ac:dyDescent="0.15">
      <c r="A27" s="57" t="s">
        <v>135</v>
      </c>
      <c r="B27" s="56">
        <v>0</v>
      </c>
      <c r="C27" s="57" t="s">
        <v>138</v>
      </c>
      <c r="D27" s="56">
        <v>0</v>
      </c>
      <c r="E27" s="57" t="s">
        <v>140</v>
      </c>
      <c r="F27" s="56">
        <v>0</v>
      </c>
    </row>
    <row r="28" spans="1:6" ht="35" customHeight="1" x14ac:dyDescent="0.15">
      <c r="A28" s="105" t="s">
        <v>42</v>
      </c>
      <c r="B28" s="106"/>
      <c r="C28" s="106"/>
      <c r="D28" s="106"/>
      <c r="E28" s="106"/>
      <c r="F28" s="56">
        <v>0</v>
      </c>
    </row>
    <row r="29" spans="1:6" ht="35" customHeight="1" x14ac:dyDescent="0.15">
      <c r="A29" s="58" t="s">
        <v>207</v>
      </c>
      <c r="B29" s="103">
        <v>46113</v>
      </c>
      <c r="C29" s="104"/>
      <c r="D29" s="104"/>
      <c r="E29" s="104"/>
      <c r="F29" s="104"/>
    </row>
    <row r="30" spans="1:6" ht="35" customHeight="1" x14ac:dyDescent="0.15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6" ht="35" customHeight="1" x14ac:dyDescent="0.15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6" ht="35" customHeight="1" x14ac:dyDescent="0.15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6" ht="35" customHeight="1" x14ac:dyDescent="0.15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6" ht="35" customHeight="1" x14ac:dyDescent="0.15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6" ht="35" customHeight="1" x14ac:dyDescent="0.15">
      <c r="A35" s="57" t="s">
        <v>128</v>
      </c>
      <c r="B35" s="56">
        <v>0</v>
      </c>
      <c r="C35" s="57" t="s">
        <v>130</v>
      </c>
      <c r="D35" s="56">
        <v>0</v>
      </c>
      <c r="E35" s="57" t="s">
        <v>133</v>
      </c>
      <c r="F35" s="56">
        <v>0</v>
      </c>
    </row>
    <row r="36" spans="1:6" ht="35" customHeight="1" x14ac:dyDescent="0.15">
      <c r="A36" s="57" t="s">
        <v>135</v>
      </c>
      <c r="B36" s="56">
        <v>0</v>
      </c>
      <c r="C36" s="57" t="s">
        <v>138</v>
      </c>
      <c r="D36" s="56">
        <v>0</v>
      </c>
      <c r="E36" s="57" t="s">
        <v>140</v>
      </c>
      <c r="F36" s="56">
        <v>0</v>
      </c>
    </row>
    <row r="37" spans="1:6" ht="35" customHeight="1" x14ac:dyDescent="0.15">
      <c r="A37" s="105" t="s">
        <v>42</v>
      </c>
      <c r="B37" s="106"/>
      <c r="C37" s="106"/>
      <c r="D37" s="106"/>
      <c r="E37" s="106"/>
      <c r="F37" s="56">
        <v>0</v>
      </c>
    </row>
    <row r="38" spans="1:6" ht="35" customHeight="1" x14ac:dyDescent="0.15">
      <c r="A38" s="58" t="s">
        <v>207</v>
      </c>
      <c r="B38" s="103">
        <v>46143</v>
      </c>
      <c r="C38" s="104"/>
      <c r="D38" s="104"/>
      <c r="E38" s="104"/>
      <c r="F38" s="104"/>
    </row>
    <row r="39" spans="1:6" ht="35" customHeight="1" x14ac:dyDescent="0.15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6" ht="35" customHeight="1" x14ac:dyDescent="0.15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6" ht="35" customHeight="1" x14ac:dyDescent="0.15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6" ht="35" customHeight="1" x14ac:dyDescent="0.15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6" ht="35" customHeight="1" x14ac:dyDescent="0.15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6" ht="35" customHeight="1" x14ac:dyDescent="0.15">
      <c r="A44" s="57" t="s">
        <v>128</v>
      </c>
      <c r="B44" s="56">
        <v>0</v>
      </c>
      <c r="C44" s="57" t="s">
        <v>130</v>
      </c>
      <c r="D44" s="56">
        <v>0</v>
      </c>
      <c r="E44" s="57" t="s">
        <v>133</v>
      </c>
      <c r="F44" s="56">
        <v>0</v>
      </c>
    </row>
    <row r="45" spans="1:6" ht="35" customHeight="1" x14ac:dyDescent="0.15">
      <c r="A45" s="57" t="s">
        <v>135</v>
      </c>
      <c r="B45" s="56">
        <v>0</v>
      </c>
      <c r="C45" s="57" t="s">
        <v>138</v>
      </c>
      <c r="D45" s="56">
        <v>0</v>
      </c>
      <c r="E45" s="57" t="s">
        <v>140</v>
      </c>
      <c r="F45" s="56">
        <v>0</v>
      </c>
    </row>
    <row r="46" spans="1:6" ht="35" customHeight="1" x14ac:dyDescent="0.15">
      <c r="A46" s="105" t="s">
        <v>42</v>
      </c>
      <c r="B46" s="106"/>
      <c r="C46" s="106"/>
      <c r="D46" s="106"/>
      <c r="E46" s="106"/>
      <c r="F46" s="56">
        <v>0</v>
      </c>
    </row>
    <row r="47" spans="1:6" ht="35" customHeight="1" x14ac:dyDescent="0.15">
      <c r="A47" s="58" t="s">
        <v>207</v>
      </c>
      <c r="B47" s="103">
        <v>46174</v>
      </c>
      <c r="C47" s="104"/>
      <c r="D47" s="104"/>
      <c r="E47" s="104"/>
      <c r="F47" s="104"/>
    </row>
    <row r="48" spans="1:6" ht="35" customHeight="1" x14ac:dyDescent="0.15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6" ht="35" customHeight="1" x14ac:dyDescent="0.15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6" ht="35" customHeight="1" x14ac:dyDescent="0.15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6" ht="35" customHeight="1" x14ac:dyDescent="0.15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6" ht="35" customHeight="1" x14ac:dyDescent="0.15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6" ht="35" customHeight="1" x14ac:dyDescent="0.15">
      <c r="A53" s="57" t="s">
        <v>128</v>
      </c>
      <c r="B53" s="56">
        <v>0</v>
      </c>
      <c r="C53" s="57" t="s">
        <v>130</v>
      </c>
      <c r="D53" s="56">
        <v>0</v>
      </c>
      <c r="E53" s="57" t="s">
        <v>133</v>
      </c>
      <c r="F53" s="56">
        <v>0</v>
      </c>
    </row>
    <row r="54" spans="1:6" ht="35" customHeight="1" x14ac:dyDescent="0.15">
      <c r="A54" s="57" t="s">
        <v>135</v>
      </c>
      <c r="B54" s="56">
        <v>0</v>
      </c>
      <c r="C54" s="57" t="s">
        <v>138</v>
      </c>
      <c r="D54" s="56">
        <v>0</v>
      </c>
      <c r="E54" s="57" t="s">
        <v>140</v>
      </c>
      <c r="F54" s="56">
        <v>0</v>
      </c>
    </row>
    <row r="55" spans="1:6" ht="35" customHeight="1" x14ac:dyDescent="0.15">
      <c r="A55" s="105" t="s">
        <v>42</v>
      </c>
      <c r="B55" s="106"/>
      <c r="C55" s="106"/>
      <c r="D55" s="106"/>
      <c r="E55" s="106"/>
      <c r="F55" s="56">
        <v>0</v>
      </c>
    </row>
    <row r="56" spans="1:6" ht="35" customHeight="1" x14ac:dyDescent="0.15">
      <c r="A56" s="58" t="s">
        <v>207</v>
      </c>
      <c r="B56" s="103">
        <v>46204</v>
      </c>
      <c r="C56" s="104"/>
      <c r="D56" s="104"/>
      <c r="E56" s="104"/>
      <c r="F56" s="104"/>
    </row>
    <row r="57" spans="1:6" ht="35" customHeight="1" x14ac:dyDescent="0.15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6" ht="35" customHeight="1" x14ac:dyDescent="0.15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6" ht="35" customHeight="1" x14ac:dyDescent="0.15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6" ht="35" customHeight="1" x14ac:dyDescent="0.15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6" ht="35" customHeight="1" x14ac:dyDescent="0.15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6" ht="35" customHeight="1" x14ac:dyDescent="0.15">
      <c r="A62" s="57" t="s">
        <v>128</v>
      </c>
      <c r="B62" s="56">
        <v>0</v>
      </c>
      <c r="C62" s="57" t="s">
        <v>130</v>
      </c>
      <c r="D62" s="56">
        <v>0</v>
      </c>
      <c r="E62" s="57" t="s">
        <v>133</v>
      </c>
      <c r="F62" s="56">
        <v>0</v>
      </c>
    </row>
    <row r="63" spans="1:6" ht="35" customHeight="1" x14ac:dyDescent="0.15">
      <c r="A63" s="57" t="s">
        <v>135</v>
      </c>
      <c r="B63" s="56">
        <v>0</v>
      </c>
      <c r="C63" s="57" t="s">
        <v>138</v>
      </c>
      <c r="D63" s="56">
        <v>0</v>
      </c>
      <c r="E63" s="57" t="s">
        <v>140</v>
      </c>
      <c r="F63" s="56">
        <v>0</v>
      </c>
    </row>
    <row r="64" spans="1:6" ht="35" customHeight="1" x14ac:dyDescent="0.15">
      <c r="A64" s="105" t="s">
        <v>42</v>
      </c>
      <c r="B64" s="106"/>
      <c r="C64" s="106"/>
      <c r="D64" s="106"/>
      <c r="E64" s="106"/>
      <c r="F64" s="56">
        <v>0</v>
      </c>
    </row>
    <row r="65" spans="1:6" ht="35" customHeight="1" x14ac:dyDescent="0.15">
      <c r="A65" s="58" t="s">
        <v>207</v>
      </c>
      <c r="B65" s="103">
        <v>46235</v>
      </c>
      <c r="C65" s="104"/>
      <c r="D65" s="104"/>
      <c r="E65" s="104"/>
      <c r="F65" s="104"/>
    </row>
    <row r="66" spans="1:6" ht="35" customHeight="1" x14ac:dyDescent="0.15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6" ht="35" customHeight="1" x14ac:dyDescent="0.15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6" ht="35" customHeight="1" x14ac:dyDescent="0.15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6" ht="35" customHeight="1" x14ac:dyDescent="0.15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6" ht="35" customHeight="1" x14ac:dyDescent="0.15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6" ht="35" customHeight="1" x14ac:dyDescent="0.15">
      <c r="A71" s="57" t="s">
        <v>128</v>
      </c>
      <c r="B71" s="56">
        <v>0</v>
      </c>
      <c r="C71" s="57" t="s">
        <v>130</v>
      </c>
      <c r="D71" s="56">
        <v>0</v>
      </c>
      <c r="E71" s="57" t="s">
        <v>133</v>
      </c>
      <c r="F71" s="56">
        <v>0</v>
      </c>
    </row>
    <row r="72" spans="1:6" ht="35" customHeight="1" x14ac:dyDescent="0.15">
      <c r="A72" s="57" t="s">
        <v>135</v>
      </c>
      <c r="B72" s="56">
        <v>0</v>
      </c>
      <c r="C72" s="57" t="s">
        <v>138</v>
      </c>
      <c r="D72" s="56">
        <v>0</v>
      </c>
      <c r="E72" s="57" t="s">
        <v>140</v>
      </c>
      <c r="F72" s="56">
        <v>0</v>
      </c>
    </row>
    <row r="73" spans="1:6" ht="35" customHeight="1" x14ac:dyDescent="0.15">
      <c r="A73" s="105" t="s">
        <v>42</v>
      </c>
      <c r="B73" s="106"/>
      <c r="C73" s="106"/>
      <c r="D73" s="106"/>
      <c r="E73" s="106"/>
      <c r="F73" s="56">
        <v>0</v>
      </c>
    </row>
    <row r="74" spans="1:6" ht="35" customHeight="1" x14ac:dyDescent="0.15">
      <c r="A74" s="58" t="s">
        <v>207</v>
      </c>
      <c r="B74" s="103">
        <v>46266</v>
      </c>
      <c r="C74" s="104"/>
      <c r="D74" s="104"/>
      <c r="E74" s="104"/>
      <c r="F74" s="104"/>
    </row>
    <row r="75" spans="1:6" ht="35" customHeight="1" x14ac:dyDescent="0.15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6" ht="35" customHeight="1" x14ac:dyDescent="0.15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6" ht="35" customHeight="1" x14ac:dyDescent="0.15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6" ht="35" customHeight="1" x14ac:dyDescent="0.15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6" ht="35" customHeight="1" x14ac:dyDescent="0.15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6" ht="35" customHeight="1" x14ac:dyDescent="0.15">
      <c r="A80" s="57" t="s">
        <v>128</v>
      </c>
      <c r="B80" s="56">
        <v>0</v>
      </c>
      <c r="C80" s="57" t="s">
        <v>130</v>
      </c>
      <c r="D80" s="56">
        <v>0</v>
      </c>
      <c r="E80" s="57" t="s">
        <v>133</v>
      </c>
      <c r="F80" s="56">
        <v>0</v>
      </c>
    </row>
    <row r="81" spans="1:6" ht="35" customHeight="1" x14ac:dyDescent="0.15">
      <c r="A81" s="57" t="s">
        <v>135</v>
      </c>
      <c r="B81" s="56">
        <v>0</v>
      </c>
      <c r="C81" s="57" t="s">
        <v>138</v>
      </c>
      <c r="D81" s="56">
        <v>0</v>
      </c>
      <c r="E81" s="57" t="s">
        <v>140</v>
      </c>
      <c r="F81" s="56">
        <v>0</v>
      </c>
    </row>
    <row r="82" spans="1:6" ht="35" customHeight="1" x14ac:dyDescent="0.15">
      <c r="A82" s="105" t="s">
        <v>42</v>
      </c>
      <c r="B82" s="106"/>
      <c r="C82" s="106"/>
      <c r="D82" s="106"/>
      <c r="E82" s="106"/>
      <c r="F82" s="56">
        <v>0</v>
      </c>
    </row>
    <row r="83" spans="1:6" ht="35" customHeight="1" x14ac:dyDescent="0.15">
      <c r="A83" s="58" t="s">
        <v>207</v>
      </c>
      <c r="B83" s="103">
        <v>46296</v>
      </c>
      <c r="C83" s="104"/>
      <c r="D83" s="104"/>
      <c r="E83" s="104"/>
      <c r="F83" s="104"/>
    </row>
    <row r="84" spans="1:6" ht="35" customHeight="1" x14ac:dyDescent="0.15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6" ht="35" customHeight="1" x14ac:dyDescent="0.15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6" ht="35" customHeight="1" x14ac:dyDescent="0.15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6" ht="35" customHeight="1" x14ac:dyDescent="0.15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6" ht="35" customHeight="1" x14ac:dyDescent="0.15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6" ht="35" customHeight="1" x14ac:dyDescent="0.15">
      <c r="A89" s="57" t="s">
        <v>128</v>
      </c>
      <c r="B89" s="56">
        <v>0</v>
      </c>
      <c r="C89" s="57" t="s">
        <v>130</v>
      </c>
      <c r="D89" s="56">
        <v>0</v>
      </c>
      <c r="E89" s="57" t="s">
        <v>133</v>
      </c>
      <c r="F89" s="56">
        <v>0</v>
      </c>
    </row>
    <row r="90" spans="1:6" ht="35" customHeight="1" x14ac:dyDescent="0.15">
      <c r="A90" s="57" t="s">
        <v>135</v>
      </c>
      <c r="B90" s="56">
        <v>0</v>
      </c>
      <c r="C90" s="57" t="s">
        <v>138</v>
      </c>
      <c r="D90" s="56">
        <v>0</v>
      </c>
      <c r="E90" s="57" t="s">
        <v>140</v>
      </c>
      <c r="F90" s="56">
        <v>0</v>
      </c>
    </row>
    <row r="91" spans="1:6" ht="35" customHeight="1" x14ac:dyDescent="0.15">
      <c r="A91" s="105" t="s">
        <v>42</v>
      </c>
      <c r="B91" s="106"/>
      <c r="C91" s="106"/>
      <c r="D91" s="106"/>
      <c r="E91" s="106"/>
      <c r="F91" s="56">
        <v>0</v>
      </c>
    </row>
    <row r="92" spans="1:6" ht="35" customHeight="1" x14ac:dyDescent="0.15">
      <c r="A92" s="58" t="s">
        <v>207</v>
      </c>
      <c r="B92" s="103">
        <v>46327</v>
      </c>
      <c r="C92" s="104"/>
      <c r="D92" s="104"/>
      <c r="E92" s="104"/>
      <c r="F92" s="104"/>
    </row>
    <row r="93" spans="1:6" ht="35" customHeight="1" x14ac:dyDescent="0.15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6" ht="35" customHeight="1" x14ac:dyDescent="0.15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6" ht="35" customHeight="1" x14ac:dyDescent="0.15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6" ht="35" customHeight="1" x14ac:dyDescent="0.15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6" ht="35" customHeight="1" x14ac:dyDescent="0.15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6" ht="35" customHeight="1" x14ac:dyDescent="0.15">
      <c r="A98" s="57" t="s">
        <v>128</v>
      </c>
      <c r="B98" s="56">
        <v>0</v>
      </c>
      <c r="C98" s="57" t="s">
        <v>130</v>
      </c>
      <c r="D98" s="56">
        <v>0</v>
      </c>
      <c r="E98" s="57" t="s">
        <v>133</v>
      </c>
      <c r="F98" s="56">
        <v>0</v>
      </c>
    </row>
    <row r="99" spans="1:6" ht="35" customHeight="1" x14ac:dyDescent="0.15">
      <c r="A99" s="57" t="s">
        <v>135</v>
      </c>
      <c r="B99" s="56">
        <v>0</v>
      </c>
      <c r="C99" s="57" t="s">
        <v>138</v>
      </c>
      <c r="D99" s="56">
        <v>0</v>
      </c>
      <c r="E99" s="57" t="s">
        <v>140</v>
      </c>
      <c r="F99" s="56">
        <v>0</v>
      </c>
    </row>
    <row r="100" spans="1:6" ht="35" customHeight="1" x14ac:dyDescent="0.15">
      <c r="A100" s="105" t="s">
        <v>42</v>
      </c>
      <c r="B100" s="106"/>
      <c r="C100" s="106"/>
      <c r="D100" s="106"/>
      <c r="E100" s="106"/>
      <c r="F100" s="56">
        <v>0</v>
      </c>
    </row>
    <row r="101" spans="1:6" ht="35" customHeight="1" x14ac:dyDescent="0.15">
      <c r="A101" s="58" t="s">
        <v>207</v>
      </c>
      <c r="B101" s="103">
        <v>46357</v>
      </c>
      <c r="C101" s="104"/>
      <c r="D101" s="104"/>
      <c r="E101" s="104"/>
      <c r="F101" s="104"/>
    </row>
    <row r="102" spans="1:6" ht="35" customHeight="1" x14ac:dyDescent="0.15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6" ht="35" customHeight="1" x14ac:dyDescent="0.15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6" ht="35" customHeight="1" x14ac:dyDescent="0.15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6" ht="35" customHeight="1" x14ac:dyDescent="0.15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6" ht="35" customHeight="1" x14ac:dyDescent="0.15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6" ht="35" customHeight="1" x14ac:dyDescent="0.15">
      <c r="A107" s="57" t="s">
        <v>128</v>
      </c>
      <c r="B107" s="56">
        <v>0</v>
      </c>
      <c r="C107" s="57" t="s">
        <v>130</v>
      </c>
      <c r="D107" s="56">
        <v>0</v>
      </c>
      <c r="E107" s="57" t="s">
        <v>133</v>
      </c>
      <c r="F107" s="56">
        <v>0</v>
      </c>
    </row>
    <row r="108" spans="1:6" ht="35" customHeight="1" x14ac:dyDescent="0.15">
      <c r="A108" s="57" t="s">
        <v>135</v>
      </c>
      <c r="B108" s="56">
        <v>0</v>
      </c>
      <c r="C108" s="57" t="s">
        <v>138</v>
      </c>
      <c r="D108" s="56">
        <v>0</v>
      </c>
      <c r="E108" s="57" t="s">
        <v>140</v>
      </c>
      <c r="F108" s="56">
        <v>0</v>
      </c>
    </row>
    <row r="109" spans="1:6" ht="35" customHeight="1" x14ac:dyDescent="0.15">
      <c r="A109" s="105" t="s">
        <v>42</v>
      </c>
      <c r="B109" s="106"/>
      <c r="C109" s="106"/>
      <c r="D109" s="106"/>
      <c r="E109" s="106"/>
      <c r="F109" s="56">
        <v>0</v>
      </c>
    </row>
  </sheetData>
  <mergeCells count="26">
    <mergeCell ref="B101:F101"/>
    <mergeCell ref="A109:E109"/>
    <mergeCell ref="B74:F74"/>
    <mergeCell ref="A82:E82"/>
    <mergeCell ref="B83:F83"/>
    <mergeCell ref="A91:E91"/>
    <mergeCell ref="B92:F92"/>
    <mergeCell ref="A100:E100"/>
    <mergeCell ref="B47:F47"/>
    <mergeCell ref="A55:E55"/>
    <mergeCell ref="B56:F56"/>
    <mergeCell ref="A64:E64"/>
    <mergeCell ref="B65:F65"/>
    <mergeCell ref="A73:E73"/>
    <mergeCell ref="B20:F20"/>
    <mergeCell ref="A28:E28"/>
    <mergeCell ref="B29:F29"/>
    <mergeCell ref="A37:E37"/>
    <mergeCell ref="B38:F38"/>
    <mergeCell ref="A46:E46"/>
    <mergeCell ref="B1:D1"/>
    <mergeCell ref="E1:F1"/>
    <mergeCell ref="B2:F2"/>
    <mergeCell ref="A10:E10"/>
    <mergeCell ref="B11:F11"/>
    <mergeCell ref="A19:E19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42622-71CE-473A-BB66-12704EC3F519}">
  <sheetPr codeName="Sheet70"/>
  <dimension ref="A1:L76"/>
  <sheetViews>
    <sheetView zoomScale="120" zoomScaleNormal="120" workbookViewId="0">
      <selection activeCell="L13" sqref="L13"/>
    </sheetView>
  </sheetViews>
  <sheetFormatPr baseColWidth="10" defaultColWidth="8.6640625" defaultRowHeight="14" x14ac:dyDescent="0.15"/>
  <cols>
    <col min="1" max="1" width="42.5" style="11" customWidth="1"/>
    <col min="2" max="2" width="50.6640625" style="11" customWidth="1"/>
    <col min="3" max="10" width="8.6640625" style="11"/>
    <col min="11" max="11" width="15.6640625" style="11" customWidth="1"/>
    <col min="12" max="12" width="35.6640625" style="11" customWidth="1"/>
    <col min="13" max="16384" width="8.6640625" style="11"/>
  </cols>
  <sheetData>
    <row r="1" spans="1:12" ht="50" customHeight="1" x14ac:dyDescent="0.15">
      <c r="A1" s="133" t="s">
        <v>122</v>
      </c>
      <c r="B1" s="133"/>
      <c r="C1" s="133"/>
      <c r="D1" s="133"/>
      <c r="E1" s="133"/>
      <c r="F1" s="133"/>
      <c r="G1" s="133"/>
      <c r="H1" s="133"/>
      <c r="I1" s="133"/>
      <c r="K1" s="127" t="s">
        <v>190</v>
      </c>
      <c r="L1" s="128"/>
    </row>
    <row r="2" spans="1:12" ht="16" x14ac:dyDescent="0.15">
      <c r="A2" s="66"/>
      <c r="B2" s="124"/>
      <c r="C2" s="125"/>
      <c r="D2" s="125"/>
      <c r="E2" s="125"/>
      <c r="F2" s="125"/>
      <c r="G2" s="125"/>
      <c r="H2" s="125"/>
      <c r="I2" s="126"/>
      <c r="K2" s="67" t="s">
        <v>114</v>
      </c>
      <c r="L2" s="10" t="s">
        <v>199</v>
      </c>
    </row>
    <row r="3" spans="1:12" ht="16" customHeight="1" x14ac:dyDescent="0.2">
      <c r="A3" s="64" t="s">
        <v>95</v>
      </c>
      <c r="B3" s="134" t="s">
        <v>96</v>
      </c>
      <c r="C3" s="134"/>
      <c r="D3" s="134"/>
      <c r="E3" s="134"/>
      <c r="F3" s="134"/>
      <c r="G3" s="134"/>
      <c r="H3" s="134"/>
      <c r="I3" s="134"/>
      <c r="K3" s="67" t="s">
        <v>117</v>
      </c>
      <c r="L3" s="69" t="s">
        <v>199</v>
      </c>
    </row>
    <row r="4" spans="1:12" ht="16" x14ac:dyDescent="0.2">
      <c r="A4" s="64" t="s">
        <v>100</v>
      </c>
      <c r="B4" s="135">
        <v>45972</v>
      </c>
      <c r="C4" s="134"/>
      <c r="D4" s="134"/>
      <c r="E4" s="134"/>
      <c r="F4" s="134"/>
      <c r="G4" s="134"/>
      <c r="H4" s="134"/>
      <c r="I4" s="134"/>
      <c r="K4" s="70" t="s">
        <v>116</v>
      </c>
      <c r="L4" s="69" t="s">
        <v>201</v>
      </c>
    </row>
    <row r="5" spans="1:12" ht="16" x14ac:dyDescent="0.2">
      <c r="A5" s="64" t="s">
        <v>97</v>
      </c>
      <c r="B5" s="135" t="s">
        <v>98</v>
      </c>
      <c r="C5" s="135"/>
      <c r="D5" s="135"/>
      <c r="E5" s="135"/>
      <c r="F5" s="135"/>
      <c r="G5" s="135"/>
      <c r="H5" s="135"/>
      <c r="I5" s="135"/>
      <c r="K5" s="70" t="s">
        <v>188</v>
      </c>
      <c r="L5" s="69" t="s">
        <v>202</v>
      </c>
    </row>
    <row r="6" spans="1:12" ht="16" x14ac:dyDescent="0.2">
      <c r="A6" s="64" t="s">
        <v>99</v>
      </c>
      <c r="B6" s="135" t="s">
        <v>101</v>
      </c>
      <c r="C6" s="135"/>
      <c r="D6" s="135"/>
      <c r="E6" s="135"/>
      <c r="F6" s="135"/>
      <c r="G6" s="135"/>
      <c r="H6" s="135"/>
      <c r="I6" s="135"/>
    </row>
    <row r="7" spans="1:12" x14ac:dyDescent="0.15">
      <c r="A7" s="67"/>
      <c r="B7" s="111"/>
      <c r="C7" s="111"/>
      <c r="D7" s="111"/>
      <c r="E7" s="111"/>
      <c r="F7" s="111"/>
      <c r="G7" s="111"/>
      <c r="H7" s="111"/>
      <c r="I7" s="111"/>
    </row>
    <row r="8" spans="1:12" ht="18" x14ac:dyDescent="0.2">
      <c r="A8" s="136" t="s">
        <v>102</v>
      </c>
      <c r="B8" s="136"/>
      <c r="C8" s="136"/>
      <c r="D8" s="136"/>
      <c r="E8" s="136"/>
      <c r="F8" s="136"/>
      <c r="G8" s="136"/>
      <c r="H8" s="136"/>
      <c r="I8" s="136"/>
    </row>
    <row r="9" spans="1:12" ht="16" x14ac:dyDescent="0.2">
      <c r="A9" s="64" t="s">
        <v>104</v>
      </c>
      <c r="B9" s="135" t="s">
        <v>103</v>
      </c>
      <c r="C9" s="135"/>
      <c r="D9" s="135"/>
      <c r="E9" s="135"/>
      <c r="F9" s="135"/>
      <c r="G9" s="135"/>
      <c r="H9" s="135"/>
      <c r="I9" s="135"/>
    </row>
    <row r="10" spans="1:12" ht="16" x14ac:dyDescent="0.2">
      <c r="A10" s="64" t="s">
        <v>105</v>
      </c>
      <c r="B10" s="135" t="s">
        <v>106</v>
      </c>
      <c r="C10" s="135"/>
      <c r="D10" s="135"/>
      <c r="E10" s="135"/>
      <c r="F10" s="135"/>
      <c r="G10" s="135"/>
      <c r="H10" s="135"/>
      <c r="I10" s="135"/>
    </row>
    <row r="11" spans="1:12" ht="16" x14ac:dyDescent="0.2">
      <c r="A11" s="64" t="s">
        <v>107</v>
      </c>
      <c r="B11" s="135" t="s">
        <v>108</v>
      </c>
      <c r="C11" s="135"/>
      <c r="D11" s="135"/>
      <c r="E11" s="135"/>
      <c r="F11" s="135"/>
      <c r="G11" s="135"/>
      <c r="H11" s="135"/>
      <c r="I11" s="135"/>
    </row>
    <row r="12" spans="1:12" ht="16" x14ac:dyDescent="0.2">
      <c r="A12" s="64" t="s">
        <v>109</v>
      </c>
      <c r="B12" s="134" t="s">
        <v>111</v>
      </c>
      <c r="C12" s="134"/>
      <c r="D12" s="134"/>
      <c r="E12" s="134"/>
      <c r="F12" s="134"/>
      <c r="G12" s="134"/>
      <c r="H12" s="134"/>
      <c r="I12" s="134"/>
    </row>
    <row r="13" spans="1:12" ht="16" x14ac:dyDescent="0.2">
      <c r="A13" s="64" t="s">
        <v>110</v>
      </c>
      <c r="B13" s="135" t="s">
        <v>112</v>
      </c>
      <c r="C13" s="135"/>
      <c r="D13" s="135"/>
      <c r="E13" s="135"/>
      <c r="F13" s="135"/>
      <c r="G13" s="135"/>
      <c r="H13" s="135"/>
      <c r="I13" s="135"/>
    </row>
    <row r="14" spans="1:12" ht="15.5" customHeight="1" x14ac:dyDescent="0.15">
      <c r="A14" s="123"/>
      <c r="B14" s="123"/>
      <c r="C14" s="123"/>
      <c r="D14" s="123"/>
      <c r="E14" s="123"/>
      <c r="F14" s="123"/>
      <c r="G14" s="123"/>
      <c r="H14" s="123"/>
      <c r="I14" s="123"/>
    </row>
    <row r="15" spans="1:12" ht="15.5" customHeight="1" x14ac:dyDescent="0.15">
      <c r="A15" s="123"/>
      <c r="B15" s="123"/>
      <c r="C15" s="123"/>
      <c r="D15" s="123"/>
      <c r="E15" s="123"/>
      <c r="F15" s="123"/>
      <c r="G15" s="123"/>
      <c r="H15" s="123"/>
      <c r="I15" s="123"/>
    </row>
    <row r="16" spans="1:12" ht="36.5" customHeight="1" x14ac:dyDescent="0.15">
      <c r="A16" s="130" t="s">
        <v>113</v>
      </c>
      <c r="B16" s="131"/>
      <c r="C16" s="131"/>
      <c r="D16" s="131"/>
      <c r="E16" s="131"/>
      <c r="F16" s="131"/>
      <c r="G16" s="132"/>
      <c r="H16" s="129" t="s">
        <v>200</v>
      </c>
      <c r="I16" s="129"/>
    </row>
    <row r="17" spans="1:12" ht="167" customHeight="1" x14ac:dyDescent="0.15">
      <c r="A17" s="75" t="s">
        <v>210</v>
      </c>
      <c r="B17" s="74">
        <v>46024</v>
      </c>
      <c r="C17" s="112" t="s">
        <v>205</v>
      </c>
      <c r="D17" s="113"/>
      <c r="E17" s="113"/>
      <c r="F17" s="113"/>
      <c r="G17" s="114"/>
      <c r="H17" s="115">
        <v>46023</v>
      </c>
      <c r="I17" s="149"/>
      <c r="L17" s="148"/>
    </row>
    <row r="18" spans="1:12" ht="16" x14ac:dyDescent="0.2">
      <c r="A18" s="64"/>
      <c r="B18" s="68" t="s">
        <v>189</v>
      </c>
      <c r="C18" s="116" t="s">
        <v>115</v>
      </c>
      <c r="D18" s="117"/>
      <c r="E18" s="117"/>
      <c r="F18" s="117"/>
      <c r="G18" s="117"/>
      <c r="H18" s="117"/>
      <c r="I18" s="118"/>
    </row>
    <row r="19" spans="1:12" ht="16" x14ac:dyDescent="0.2">
      <c r="A19" s="65" t="s">
        <v>118</v>
      </c>
      <c r="B19" s="71">
        <v>1823.98</v>
      </c>
      <c r="C19" s="110" t="s">
        <v>123</v>
      </c>
      <c r="D19" s="110"/>
      <c r="E19" s="110"/>
      <c r="F19" s="110"/>
      <c r="G19" s="110"/>
      <c r="H19" s="110"/>
      <c r="I19" s="110"/>
    </row>
    <row r="20" spans="1:12" ht="16" x14ac:dyDescent="0.2">
      <c r="A20" s="65" t="s">
        <v>17</v>
      </c>
      <c r="B20" s="71">
        <v>72.5</v>
      </c>
      <c r="C20" s="110" t="s">
        <v>123</v>
      </c>
      <c r="D20" s="110"/>
      <c r="E20" s="110"/>
      <c r="F20" s="110"/>
      <c r="G20" s="110"/>
      <c r="H20" s="110"/>
      <c r="I20" s="110"/>
    </row>
    <row r="21" spans="1:12" ht="16" x14ac:dyDescent="0.2">
      <c r="A21" s="65" t="s">
        <v>119</v>
      </c>
      <c r="B21" s="71">
        <v>321.89850000000001</v>
      </c>
      <c r="C21" s="110" t="s">
        <v>123</v>
      </c>
      <c r="D21" s="110"/>
      <c r="E21" s="110"/>
      <c r="F21" s="110"/>
      <c r="G21" s="110"/>
      <c r="H21" s="110"/>
      <c r="I21" s="110"/>
    </row>
    <row r="22" spans="1:12" ht="16" x14ac:dyDescent="0.2">
      <c r="A22" s="65" t="s">
        <v>120</v>
      </c>
      <c r="B22" s="71">
        <v>8.3330000000000002</v>
      </c>
      <c r="C22" s="110" t="s">
        <v>123</v>
      </c>
      <c r="D22" s="110"/>
      <c r="E22" s="110"/>
      <c r="F22" s="110"/>
      <c r="G22" s="110"/>
      <c r="H22" s="110"/>
      <c r="I22" s="110"/>
    </row>
    <row r="23" spans="1:12" ht="16" x14ac:dyDescent="0.2">
      <c r="A23" s="65" t="s">
        <v>121</v>
      </c>
      <c r="B23" s="71">
        <v>15.184000000000001</v>
      </c>
      <c r="C23" s="110" t="s">
        <v>123</v>
      </c>
      <c r="D23" s="110"/>
      <c r="E23" s="110"/>
      <c r="F23" s="110"/>
      <c r="G23" s="110"/>
      <c r="H23" s="110"/>
      <c r="I23" s="110"/>
    </row>
    <row r="24" spans="1:12" ht="77" customHeight="1" x14ac:dyDescent="0.15">
      <c r="A24" s="73" t="s">
        <v>3</v>
      </c>
      <c r="B24" s="72" t="s">
        <v>203</v>
      </c>
      <c r="C24" s="119" t="s">
        <v>123</v>
      </c>
      <c r="D24" s="119"/>
      <c r="E24" s="119"/>
      <c r="F24" s="119"/>
      <c r="G24" s="119"/>
      <c r="H24" s="119"/>
      <c r="I24" s="119"/>
    </row>
    <row r="25" spans="1:12" ht="15.5" customHeight="1" x14ac:dyDescent="0.15">
      <c r="A25" s="123"/>
      <c r="B25" s="123"/>
      <c r="C25" s="123"/>
      <c r="D25" s="123"/>
      <c r="E25" s="123"/>
      <c r="F25" s="123"/>
      <c r="G25" s="123"/>
      <c r="H25" s="123"/>
      <c r="I25" s="123"/>
    </row>
    <row r="26" spans="1:12" x14ac:dyDescent="0.15">
      <c r="A26" s="123"/>
      <c r="B26" s="123"/>
      <c r="C26" s="123"/>
      <c r="D26" s="123"/>
      <c r="E26" s="123"/>
      <c r="F26" s="123"/>
      <c r="G26" s="123"/>
      <c r="H26" s="123"/>
      <c r="I26" s="123"/>
    </row>
    <row r="27" spans="1:12" ht="33" x14ac:dyDescent="0.35">
      <c r="A27" s="14" t="s">
        <v>87</v>
      </c>
      <c r="B27" s="120" t="s">
        <v>204</v>
      </c>
      <c r="C27" s="121"/>
      <c r="D27" s="121"/>
      <c r="E27" s="121"/>
      <c r="F27" s="121"/>
      <c r="G27" s="121"/>
      <c r="H27" s="121"/>
      <c r="I27" s="122"/>
    </row>
    <row r="28" spans="1:12" x14ac:dyDescent="0.15">
      <c r="A28" s="102"/>
      <c r="B28" s="102"/>
      <c r="C28" s="102"/>
      <c r="D28" s="102"/>
      <c r="E28" s="102"/>
      <c r="F28" s="102"/>
      <c r="G28" s="102"/>
      <c r="H28" s="102"/>
      <c r="I28" s="102"/>
    </row>
    <row r="29" spans="1:12" ht="239" customHeight="1" x14ac:dyDescent="0.15">
      <c r="A29" s="79" t="s">
        <v>206</v>
      </c>
      <c r="B29" s="150">
        <v>46024</v>
      </c>
      <c r="C29" s="151"/>
      <c r="D29" s="151"/>
      <c r="E29" s="151"/>
      <c r="F29" s="151"/>
      <c r="G29" s="152" t="s">
        <v>209</v>
      </c>
      <c r="H29" s="152"/>
      <c r="I29" s="153"/>
    </row>
    <row r="30" spans="1:12" x14ac:dyDescent="0.15">
      <c r="A30" s="102"/>
      <c r="B30" s="102"/>
      <c r="C30" s="102"/>
      <c r="D30" s="102"/>
      <c r="E30" s="102"/>
      <c r="F30" s="102"/>
      <c r="G30" s="102"/>
      <c r="H30" s="102"/>
      <c r="I30" s="102"/>
    </row>
    <row r="31" spans="1:12" ht="16" x14ac:dyDescent="0.2">
      <c r="A31" s="13" t="s">
        <v>91</v>
      </c>
      <c r="B31" s="13">
        <v>1800</v>
      </c>
      <c r="C31" s="102"/>
      <c r="D31" s="102"/>
      <c r="E31" s="102"/>
      <c r="F31" s="102"/>
      <c r="G31" s="102"/>
      <c r="H31" s="102"/>
      <c r="I31" s="102"/>
    </row>
    <row r="32" spans="1:12" ht="16" x14ac:dyDescent="0.2">
      <c r="A32" s="16" t="s">
        <v>88</v>
      </c>
      <c r="B32" s="16" t="s">
        <v>89</v>
      </c>
      <c r="C32" s="102"/>
      <c r="D32" s="102"/>
      <c r="E32" s="102"/>
      <c r="F32" s="102"/>
      <c r="G32" s="102"/>
      <c r="H32" s="102"/>
      <c r="I32" s="102"/>
    </row>
    <row r="33" spans="1:9" ht="34" x14ac:dyDescent="0.2">
      <c r="A33" s="76" t="s">
        <v>126</v>
      </c>
      <c r="B33" s="77">
        <v>80.474625000000003</v>
      </c>
      <c r="C33" s="102"/>
      <c r="D33" s="102"/>
      <c r="E33" s="102"/>
      <c r="F33" s="102"/>
      <c r="G33" s="102"/>
      <c r="H33" s="102"/>
      <c r="I33" s="102"/>
    </row>
    <row r="34" spans="1:9" ht="34" x14ac:dyDescent="0.2">
      <c r="A34" s="76" t="s">
        <v>125</v>
      </c>
      <c r="B34" s="77">
        <v>18.125</v>
      </c>
      <c r="C34" s="102"/>
      <c r="D34" s="102"/>
      <c r="E34" s="102"/>
      <c r="F34" s="102"/>
      <c r="G34" s="102"/>
      <c r="H34" s="102"/>
      <c r="I34" s="102"/>
    </row>
    <row r="35" spans="1:9" ht="34" x14ac:dyDescent="0.2">
      <c r="A35" s="76" t="s">
        <v>124</v>
      </c>
      <c r="B35" s="77">
        <v>35.766500000000001</v>
      </c>
      <c r="C35" s="102"/>
      <c r="D35" s="102"/>
      <c r="E35" s="102"/>
      <c r="F35" s="102"/>
      <c r="G35" s="102"/>
      <c r="H35" s="102"/>
      <c r="I35" s="102"/>
    </row>
    <row r="36" spans="1:9" x14ac:dyDescent="0.15">
      <c r="A36" s="12" t="s">
        <v>208</v>
      </c>
      <c r="B36" s="78">
        <v>1665.633875</v>
      </c>
      <c r="C36" s="102"/>
      <c r="D36" s="102"/>
      <c r="E36" s="102"/>
      <c r="F36" s="102"/>
      <c r="G36" s="102"/>
      <c r="H36" s="102"/>
      <c r="I36" s="102"/>
    </row>
    <row r="37" spans="1:9" x14ac:dyDescent="0.15">
      <c r="A37" s="102"/>
      <c r="B37" s="102"/>
      <c r="C37" s="102"/>
      <c r="D37" s="102"/>
      <c r="E37" s="102"/>
      <c r="F37" s="102"/>
      <c r="G37" s="102"/>
      <c r="H37" s="102"/>
      <c r="I37" s="102"/>
    </row>
    <row r="38" spans="1:9" x14ac:dyDescent="0.15">
      <c r="A38" s="102"/>
      <c r="B38" s="102"/>
      <c r="C38" s="102"/>
      <c r="D38" s="102"/>
      <c r="E38" s="102"/>
      <c r="F38" s="102"/>
      <c r="G38" s="102"/>
      <c r="H38" s="102"/>
      <c r="I38" s="102"/>
    </row>
    <row r="39" spans="1:9" x14ac:dyDescent="0.15">
      <c r="A39" s="102"/>
      <c r="B39" s="102"/>
      <c r="C39" s="102"/>
      <c r="D39" s="102"/>
      <c r="E39" s="102"/>
      <c r="F39" s="102"/>
      <c r="G39" s="102"/>
      <c r="H39" s="102"/>
      <c r="I39" s="102"/>
    </row>
    <row r="40" spans="1:9" x14ac:dyDescent="0.15">
      <c r="A40" s="102"/>
      <c r="B40" s="102"/>
      <c r="C40" s="102"/>
      <c r="D40" s="102"/>
      <c r="E40" s="102"/>
      <c r="F40" s="102"/>
      <c r="G40" s="102"/>
      <c r="H40" s="102"/>
      <c r="I40" s="102"/>
    </row>
    <row r="41" spans="1:9" x14ac:dyDescent="0.15">
      <c r="A41" s="102"/>
      <c r="B41" s="102"/>
      <c r="C41" s="102"/>
      <c r="D41" s="102"/>
      <c r="E41" s="102"/>
      <c r="F41" s="102"/>
      <c r="G41" s="102"/>
      <c r="H41" s="102"/>
      <c r="I41" s="102"/>
    </row>
    <row r="42" spans="1:9" x14ac:dyDescent="0.15">
      <c r="A42" s="102"/>
      <c r="B42" s="102"/>
      <c r="C42" s="102"/>
      <c r="D42" s="102"/>
      <c r="E42" s="102"/>
      <c r="F42" s="102"/>
      <c r="G42" s="102"/>
      <c r="H42" s="102"/>
      <c r="I42" s="102"/>
    </row>
    <row r="43" spans="1:9" x14ac:dyDescent="0.15">
      <c r="A43" s="102"/>
      <c r="B43" s="102"/>
      <c r="C43" s="102"/>
      <c r="D43" s="102"/>
      <c r="E43" s="102"/>
      <c r="F43" s="102"/>
      <c r="G43" s="102"/>
      <c r="H43" s="102"/>
      <c r="I43" s="102"/>
    </row>
    <row r="44" spans="1:9" x14ac:dyDescent="0.15">
      <c r="A44" s="102"/>
      <c r="B44" s="102"/>
      <c r="C44" s="102"/>
      <c r="D44" s="102"/>
      <c r="E44" s="102"/>
      <c r="F44" s="102"/>
      <c r="G44" s="102"/>
      <c r="H44" s="102"/>
      <c r="I44" s="102"/>
    </row>
    <row r="45" spans="1:9" x14ac:dyDescent="0.15">
      <c r="A45" s="102"/>
      <c r="B45" s="102"/>
      <c r="C45" s="102"/>
      <c r="D45" s="102"/>
      <c r="E45" s="102"/>
      <c r="F45" s="102"/>
      <c r="G45" s="102"/>
      <c r="H45" s="102"/>
      <c r="I45" s="102"/>
    </row>
    <row r="46" spans="1:9" x14ac:dyDescent="0.15">
      <c r="A46" s="102"/>
      <c r="B46" s="102"/>
      <c r="C46" s="102"/>
      <c r="D46" s="102"/>
      <c r="E46" s="102"/>
      <c r="F46" s="102"/>
      <c r="G46" s="102"/>
      <c r="H46" s="102"/>
      <c r="I46" s="102"/>
    </row>
    <row r="47" spans="1:9" x14ac:dyDescent="0.15">
      <c r="A47" s="102"/>
      <c r="B47" s="102"/>
      <c r="C47" s="102"/>
      <c r="D47" s="102"/>
      <c r="E47" s="102"/>
      <c r="F47" s="102"/>
      <c r="G47" s="102"/>
      <c r="H47" s="102"/>
      <c r="I47" s="102"/>
    </row>
    <row r="48" spans="1:9" ht="18" x14ac:dyDescent="0.2">
      <c r="A48" s="136" t="s">
        <v>141</v>
      </c>
      <c r="B48" s="136"/>
      <c r="C48" s="136"/>
      <c r="D48" s="136"/>
      <c r="E48" s="136"/>
      <c r="F48" s="136"/>
      <c r="G48" s="136"/>
      <c r="H48" s="136"/>
      <c r="I48" s="136"/>
    </row>
    <row r="49" spans="1:9" ht="16" x14ac:dyDescent="0.2">
      <c r="A49" s="64" t="s">
        <v>142</v>
      </c>
      <c r="B49" s="137" t="s">
        <v>144</v>
      </c>
      <c r="C49" s="137"/>
      <c r="D49" s="137"/>
      <c r="E49" s="137"/>
      <c r="F49" s="137"/>
      <c r="G49" s="137"/>
      <c r="H49" s="137"/>
      <c r="I49" s="137"/>
    </row>
    <row r="50" spans="1:9" ht="16" x14ac:dyDescent="0.2">
      <c r="A50" s="64" t="s">
        <v>143</v>
      </c>
      <c r="B50" s="137" t="s">
        <v>145</v>
      </c>
      <c r="C50" s="137"/>
      <c r="D50" s="137"/>
      <c r="E50" s="137"/>
      <c r="F50" s="137"/>
      <c r="G50" s="137"/>
      <c r="H50" s="137"/>
      <c r="I50" s="137"/>
    </row>
    <row r="51" spans="1:9" x14ac:dyDescent="0.15">
      <c r="A51" s="102"/>
      <c r="B51" s="102"/>
      <c r="C51" s="102"/>
      <c r="D51" s="102"/>
      <c r="E51" s="102"/>
      <c r="F51" s="102"/>
      <c r="G51" s="102"/>
      <c r="H51" s="102"/>
      <c r="I51" s="102"/>
    </row>
    <row r="52" spans="1:9" x14ac:dyDescent="0.15">
      <c r="A52" s="102"/>
      <c r="B52" s="102"/>
      <c r="C52" s="102"/>
      <c r="D52" s="102"/>
      <c r="E52" s="102"/>
      <c r="F52" s="102"/>
      <c r="G52" s="102"/>
      <c r="H52" s="102"/>
      <c r="I52" s="102"/>
    </row>
    <row r="53" spans="1:9" ht="18" x14ac:dyDescent="0.2">
      <c r="A53" s="136" t="s">
        <v>146</v>
      </c>
      <c r="B53" s="136"/>
      <c r="C53" s="136"/>
      <c r="D53" s="136"/>
      <c r="E53" s="136"/>
      <c r="F53" s="136"/>
      <c r="G53" s="136"/>
      <c r="H53" s="136"/>
      <c r="I53" s="136"/>
    </row>
    <row r="54" spans="1:9" ht="16" x14ac:dyDescent="0.2">
      <c r="A54" s="64" t="s">
        <v>147</v>
      </c>
      <c r="B54" s="137" t="s">
        <v>151</v>
      </c>
      <c r="C54" s="137"/>
      <c r="D54" s="137"/>
      <c r="E54" s="137"/>
      <c r="F54" s="137"/>
      <c r="G54" s="137"/>
      <c r="H54" s="137"/>
      <c r="I54" s="137"/>
    </row>
    <row r="55" spans="1:9" ht="16" x14ac:dyDescent="0.2">
      <c r="A55" s="64" t="s">
        <v>148</v>
      </c>
      <c r="B55" s="137" t="s">
        <v>152</v>
      </c>
      <c r="C55" s="137"/>
      <c r="D55" s="137"/>
      <c r="E55" s="137"/>
      <c r="F55" s="137"/>
      <c r="G55" s="137"/>
      <c r="H55" s="137"/>
      <c r="I55" s="137"/>
    </row>
    <row r="56" spans="1:9" ht="16" x14ac:dyDescent="0.2">
      <c r="A56" s="64" t="s">
        <v>149</v>
      </c>
      <c r="B56" s="137" t="s">
        <v>153</v>
      </c>
      <c r="C56" s="137"/>
      <c r="D56" s="137"/>
      <c r="E56" s="137"/>
      <c r="F56" s="137"/>
      <c r="G56" s="137"/>
      <c r="H56" s="137"/>
      <c r="I56" s="137"/>
    </row>
    <row r="57" spans="1:9" ht="16" x14ac:dyDescent="0.2">
      <c r="A57" s="65" t="s">
        <v>150</v>
      </c>
      <c r="B57" s="137" t="s">
        <v>154</v>
      </c>
      <c r="C57" s="137"/>
      <c r="D57" s="137"/>
      <c r="E57" s="137"/>
      <c r="F57" s="137"/>
      <c r="G57" s="137"/>
      <c r="H57" s="137"/>
      <c r="I57" s="137"/>
    </row>
    <row r="58" spans="1:9" x14ac:dyDescent="0.15">
      <c r="A58" s="102"/>
      <c r="B58" s="102"/>
      <c r="C58" s="102"/>
      <c r="D58" s="102"/>
      <c r="E58" s="102"/>
      <c r="F58" s="102"/>
      <c r="G58" s="102"/>
      <c r="H58" s="102"/>
      <c r="I58" s="102"/>
    </row>
    <row r="59" spans="1:9" x14ac:dyDescent="0.15">
      <c r="A59" s="102"/>
      <c r="B59" s="102"/>
      <c r="C59" s="102"/>
      <c r="D59" s="102"/>
      <c r="E59" s="102"/>
      <c r="F59" s="102"/>
      <c r="G59" s="102"/>
      <c r="H59" s="102"/>
      <c r="I59" s="102"/>
    </row>
    <row r="60" spans="1:9" ht="18" x14ac:dyDescent="0.2">
      <c r="A60" s="136" t="s">
        <v>155</v>
      </c>
      <c r="B60" s="136"/>
      <c r="C60" s="136"/>
      <c r="D60" s="136"/>
      <c r="E60" s="136"/>
      <c r="F60" s="136"/>
      <c r="G60" s="136"/>
      <c r="H60" s="136"/>
      <c r="I60" s="136"/>
    </row>
    <row r="61" spans="1:9" x14ac:dyDescent="0.15">
      <c r="A61" s="138" t="s">
        <v>156</v>
      </c>
      <c r="B61" s="137" t="s">
        <v>157</v>
      </c>
      <c r="C61" s="137"/>
      <c r="D61" s="137"/>
      <c r="E61" s="137"/>
      <c r="F61" s="137"/>
      <c r="G61" s="137"/>
      <c r="H61" s="137"/>
      <c r="I61" s="137"/>
    </row>
    <row r="62" spans="1:9" x14ac:dyDescent="0.15">
      <c r="A62" s="138"/>
      <c r="B62" s="137" t="s">
        <v>158</v>
      </c>
      <c r="C62" s="137"/>
      <c r="D62" s="137"/>
      <c r="E62" s="137"/>
      <c r="F62" s="137"/>
      <c r="G62" s="137"/>
      <c r="H62" s="137"/>
      <c r="I62" s="137"/>
    </row>
    <row r="63" spans="1:9" x14ac:dyDescent="0.15">
      <c r="A63" s="138"/>
      <c r="B63" s="137" t="s">
        <v>159</v>
      </c>
      <c r="C63" s="137"/>
      <c r="D63" s="137"/>
      <c r="E63" s="137"/>
      <c r="F63" s="137"/>
      <c r="G63" s="137"/>
      <c r="H63" s="137"/>
      <c r="I63" s="137"/>
    </row>
    <row r="64" spans="1:9" x14ac:dyDescent="0.15">
      <c r="A64" s="138"/>
      <c r="B64" s="137" t="s">
        <v>160</v>
      </c>
      <c r="C64" s="137"/>
      <c r="D64" s="137"/>
      <c r="E64" s="137"/>
      <c r="F64" s="137"/>
      <c r="G64" s="137"/>
      <c r="H64" s="137"/>
      <c r="I64" s="137"/>
    </row>
    <row r="65" spans="1:9" x14ac:dyDescent="0.15">
      <c r="A65" s="102"/>
      <c r="B65" s="102"/>
      <c r="C65" s="102"/>
      <c r="D65" s="102"/>
      <c r="E65" s="102"/>
      <c r="F65" s="102"/>
      <c r="G65" s="102"/>
      <c r="H65" s="102"/>
      <c r="I65" s="102"/>
    </row>
    <row r="66" spans="1:9" x14ac:dyDescent="0.15">
      <c r="A66" s="102"/>
      <c r="B66" s="102"/>
      <c r="C66" s="102"/>
      <c r="D66" s="102"/>
      <c r="E66" s="102"/>
      <c r="F66" s="102"/>
      <c r="G66" s="102"/>
      <c r="H66" s="102"/>
      <c r="I66" s="102"/>
    </row>
    <row r="67" spans="1:9" ht="18" x14ac:dyDescent="0.2">
      <c r="A67" s="139" t="s">
        <v>161</v>
      </c>
      <c r="B67" s="140"/>
      <c r="C67" s="140"/>
      <c r="D67" s="140"/>
      <c r="E67" s="140"/>
      <c r="F67" s="140"/>
      <c r="G67" s="140"/>
      <c r="H67" s="140"/>
      <c r="I67" s="141"/>
    </row>
    <row r="68" spans="1:9" x14ac:dyDescent="0.15">
      <c r="A68" s="137" t="s">
        <v>162</v>
      </c>
      <c r="B68" s="137"/>
      <c r="C68" s="137"/>
      <c r="D68" s="137"/>
      <c r="E68" s="137"/>
      <c r="F68" s="137"/>
      <c r="G68" s="137"/>
      <c r="H68" s="137"/>
      <c r="I68" s="137"/>
    </row>
    <row r="69" spans="1:9" x14ac:dyDescent="0.15">
      <c r="A69" s="137" t="s">
        <v>163</v>
      </c>
      <c r="B69" s="137"/>
      <c r="C69" s="137"/>
      <c r="D69" s="137"/>
      <c r="E69" s="137"/>
      <c r="F69" s="137"/>
      <c r="G69" s="137"/>
      <c r="H69" s="137"/>
      <c r="I69" s="137"/>
    </row>
    <row r="70" spans="1:9" x14ac:dyDescent="0.15">
      <c r="A70" s="137" t="s">
        <v>164</v>
      </c>
      <c r="B70" s="137"/>
      <c r="C70" s="137"/>
      <c r="D70" s="137"/>
      <c r="E70" s="137"/>
      <c r="F70" s="137"/>
      <c r="G70" s="137"/>
      <c r="H70" s="137"/>
      <c r="I70" s="137"/>
    </row>
    <row r="71" spans="1:9" x14ac:dyDescent="0.15">
      <c r="A71" s="102"/>
      <c r="B71" s="102"/>
      <c r="C71" s="102"/>
      <c r="D71" s="102"/>
      <c r="E71" s="102"/>
      <c r="F71" s="102"/>
      <c r="G71" s="102"/>
      <c r="H71" s="102"/>
      <c r="I71" s="102"/>
    </row>
    <row r="72" spans="1:9" x14ac:dyDescent="0.15">
      <c r="A72" s="102"/>
      <c r="B72" s="102"/>
      <c r="C72" s="102"/>
      <c r="D72" s="102"/>
      <c r="E72" s="102"/>
      <c r="F72" s="102"/>
      <c r="G72" s="102"/>
      <c r="H72" s="102"/>
      <c r="I72" s="102"/>
    </row>
    <row r="73" spans="1:9" ht="18" x14ac:dyDescent="0.2">
      <c r="A73" s="139" t="s">
        <v>165</v>
      </c>
      <c r="B73" s="140"/>
      <c r="C73" s="140"/>
      <c r="D73" s="140"/>
      <c r="E73" s="140"/>
      <c r="F73" s="140"/>
      <c r="G73" s="140"/>
      <c r="H73" s="140"/>
      <c r="I73" s="141"/>
    </row>
    <row r="74" spans="1:9" x14ac:dyDescent="0.15">
      <c r="A74" s="142" t="s">
        <v>166</v>
      </c>
      <c r="B74" s="143"/>
      <c r="C74" s="143"/>
      <c r="D74" s="143"/>
      <c r="E74" s="143"/>
      <c r="F74" s="143"/>
      <c r="G74" s="143"/>
      <c r="H74" s="143"/>
      <c r="I74" s="144"/>
    </row>
    <row r="75" spans="1:9" x14ac:dyDescent="0.15">
      <c r="A75" s="137" t="s">
        <v>167</v>
      </c>
      <c r="B75" s="137"/>
      <c r="C75" s="137"/>
      <c r="D75" s="137"/>
      <c r="E75" s="137"/>
      <c r="F75" s="137"/>
      <c r="G75" s="137"/>
      <c r="H75" s="137"/>
      <c r="I75" s="137"/>
    </row>
    <row r="76" spans="1:9" x14ac:dyDescent="0.15">
      <c r="A76" s="137" t="s">
        <v>168</v>
      </c>
      <c r="B76" s="137"/>
      <c r="C76" s="137"/>
      <c r="D76" s="137"/>
      <c r="E76" s="137"/>
      <c r="F76" s="137"/>
      <c r="G76" s="137"/>
      <c r="H76" s="137"/>
      <c r="I76" s="137"/>
    </row>
  </sheetData>
  <mergeCells count="61">
    <mergeCell ref="A73:I73"/>
    <mergeCell ref="A74:I74"/>
    <mergeCell ref="A75:I75"/>
    <mergeCell ref="A76:I76"/>
    <mergeCell ref="A67:I67"/>
    <mergeCell ref="A71:I72"/>
    <mergeCell ref="A65:I66"/>
    <mergeCell ref="A68:I68"/>
    <mergeCell ref="A69:I69"/>
    <mergeCell ref="A70:I70"/>
    <mergeCell ref="B61:I61"/>
    <mergeCell ref="B62:I62"/>
    <mergeCell ref="B63:I63"/>
    <mergeCell ref="B64:I64"/>
    <mergeCell ref="A61:A64"/>
    <mergeCell ref="B54:I54"/>
    <mergeCell ref="B55:I55"/>
    <mergeCell ref="B56:I56"/>
    <mergeCell ref="B57:I57"/>
    <mergeCell ref="A60:I60"/>
    <mergeCell ref="A58:I59"/>
    <mergeCell ref="A48:I48"/>
    <mergeCell ref="B49:I49"/>
    <mergeCell ref="B50:I50"/>
    <mergeCell ref="A53:I53"/>
    <mergeCell ref="A51:I52"/>
    <mergeCell ref="B2:I2"/>
    <mergeCell ref="A14:I15"/>
    <mergeCell ref="K1:L1"/>
    <mergeCell ref="H16:I16"/>
    <mergeCell ref="A16:G16"/>
    <mergeCell ref="A1:I1"/>
    <mergeCell ref="B3:I3"/>
    <mergeCell ref="B4:I4"/>
    <mergeCell ref="B5:I5"/>
    <mergeCell ref="B6:I6"/>
    <mergeCell ref="A8:I8"/>
    <mergeCell ref="B9:I9"/>
    <mergeCell ref="B10:I10"/>
    <mergeCell ref="B11:I11"/>
    <mergeCell ref="B12:I12"/>
    <mergeCell ref="B13:I13"/>
    <mergeCell ref="C21:I21"/>
    <mergeCell ref="C22:I22"/>
    <mergeCell ref="C23:I23"/>
    <mergeCell ref="C24:I24"/>
    <mergeCell ref="B27:I27"/>
    <mergeCell ref="A25:I26"/>
    <mergeCell ref="C20:I20"/>
    <mergeCell ref="B7:I7"/>
    <mergeCell ref="C17:G17"/>
    <mergeCell ref="H17:I17"/>
    <mergeCell ref="C18:I18"/>
    <mergeCell ref="C19:I19"/>
    <mergeCell ref="A37:B46"/>
    <mergeCell ref="C31:I46"/>
    <mergeCell ref="A30:I30"/>
    <mergeCell ref="A47:I47"/>
    <mergeCell ref="A28:I28"/>
    <mergeCell ref="G29:I29"/>
    <mergeCell ref="B29:F29"/>
  </mergeCells>
  <dataValidations count="1">
    <dataValidation type="list" allowBlank="1" showInputMessage="1" showErrorMessage="1" sqref="H16:I16" xr:uid="{F0E91B71-5A38-4502-923B-9735FFC69A61}">
      <formula1>"Day, Week, Month"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CEF1-BE22-4892-8AA3-B682A1F63E18}">
  <sheetPr codeName="Sheet52"/>
  <dimension ref="A1:AC1009"/>
  <sheetViews>
    <sheetView zoomScale="60" zoomScaleNormal="60" workbookViewId="0">
      <selection activeCell="M13" sqref="M13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88" t="s">
        <v>0</v>
      </c>
      <c r="B1" s="88"/>
      <c r="C1" s="91" t="s">
        <v>44</v>
      </c>
      <c r="D1" s="91"/>
      <c r="E1" s="91"/>
      <c r="F1" s="91"/>
      <c r="G1" s="91"/>
      <c r="H1" s="91"/>
      <c r="I1" s="17"/>
      <c r="J1" s="88" t="s">
        <v>70</v>
      </c>
      <c r="K1" s="88"/>
      <c r="L1" s="91" t="s">
        <v>73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90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192</v>
      </c>
      <c r="L5" s="21" t="s">
        <v>5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80" customHeight="1" x14ac:dyDescent="0.15">
      <c r="A6" s="23" t="s">
        <v>14</v>
      </c>
      <c r="B6" s="23" t="s">
        <v>74</v>
      </c>
      <c r="C6" s="23" t="s">
        <v>127</v>
      </c>
      <c r="D6" s="23" t="s">
        <v>129</v>
      </c>
      <c r="E6" s="23" t="s">
        <v>132</v>
      </c>
      <c r="F6" s="23" t="s">
        <v>134</v>
      </c>
      <c r="G6" s="23" t="s">
        <v>137</v>
      </c>
      <c r="H6" s="23" t="s">
        <v>139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Quaker Multigrain Oat (grams)</v>
      </c>
      <c r="B7" s="27">
        <f>K6</f>
        <v>100</v>
      </c>
      <c r="C7" s="28">
        <v>60</v>
      </c>
      <c r="D7" s="28">
        <v>9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394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Ingredient2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10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80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15.5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3.4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264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240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5.5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0.8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2.1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40" customHeight="1" x14ac:dyDescent="0.15">
      <c r="A25" s="23" t="s">
        <v>14</v>
      </c>
      <c r="B25" s="23" t="s">
        <v>128</v>
      </c>
      <c r="C25" s="23" t="s">
        <v>130</v>
      </c>
      <c r="D25" s="23" t="s">
        <v>133</v>
      </c>
      <c r="E25" s="23" t="s">
        <v>135</v>
      </c>
      <c r="F25" s="23" t="s">
        <v>138</v>
      </c>
      <c r="G25" s="41" t="s">
        <v>140</v>
      </c>
      <c r="H25" s="17"/>
      <c r="I25" s="17"/>
      <c r="J25" s="42" t="s">
        <v>30</v>
      </c>
      <c r="K25" s="36"/>
      <c r="L25" s="37" t="s">
        <v>191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Quaker Multigrain Oat (grams)</v>
      </c>
      <c r="B26" s="28">
        <f t="shared" ref="B26:B35" si="0">IF(B7&gt;0,($C7*K26)/B7,0)</f>
        <v>42</v>
      </c>
      <c r="C26" s="28">
        <f t="shared" ref="C26:C35" si="1">IF(B7&gt;0,($D7*K26)/B7,0)</f>
        <v>6.3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Quaker Multigrain Oat (grams)</v>
      </c>
      <c r="K26" s="25">
        <v>70</v>
      </c>
      <c r="L26" s="25">
        <f>(K7*K26)/K6</f>
        <v>275.8</v>
      </c>
      <c r="M26" s="25">
        <f>(K8*K26)/K6</f>
        <v>7</v>
      </c>
      <c r="N26" s="25">
        <f>(K9*K26)/K6</f>
        <v>56</v>
      </c>
      <c r="O26" s="25">
        <f>(K10*K26)/K6</f>
        <v>10.85</v>
      </c>
      <c r="P26" s="25">
        <f>(K11*K26)/K6</f>
        <v>2.38</v>
      </c>
      <c r="Q26" s="25">
        <f>(K12*K26)/K6</f>
        <v>184.8</v>
      </c>
      <c r="R26" s="25">
        <f>(K13*K26)/K6</f>
        <v>168</v>
      </c>
      <c r="S26" s="25">
        <f>(K14*K26)/K6</f>
        <v>0</v>
      </c>
      <c r="T26" s="46">
        <f>(K15*K26)/K6</f>
        <v>3.85</v>
      </c>
      <c r="U26" s="46">
        <f>(K16*K26)/K6</f>
        <v>0.56000000000000005</v>
      </c>
      <c r="V26" s="25">
        <f>(K17*K26)/K6</f>
        <v>0</v>
      </c>
      <c r="W26" s="25">
        <f>(K18*K26)/K6</f>
        <v>1.47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15">
      <c r="A27" s="26" t="str">
        <f>L5</f>
        <v>Ingredient2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Ingredient2</v>
      </c>
      <c r="K27" s="25">
        <v>0</v>
      </c>
      <c r="L27" s="25">
        <f>(L7*K27)/L6</f>
        <v>0</v>
      </c>
      <c r="M27" s="25">
        <f>(L8*K27)/L6</f>
        <v>0</v>
      </c>
      <c r="N27" s="25">
        <f>(L9*K27)/L6</f>
        <v>0</v>
      </c>
      <c r="O27" s="25">
        <f>(L10*K27)/L6</f>
        <v>0</v>
      </c>
      <c r="P27" s="25">
        <f>(L11*K27)/L6</f>
        <v>0</v>
      </c>
      <c r="Q27" s="25">
        <f>(L12*K27)/L6</f>
        <v>0</v>
      </c>
      <c r="R27" s="25">
        <f>(L13*K27)/L6</f>
        <v>0</v>
      </c>
      <c r="S27" s="25">
        <f>(L14*K27)/L6</f>
        <v>0</v>
      </c>
      <c r="T27" s="46">
        <f>(L15*K27)/L6</f>
        <v>0</v>
      </c>
      <c r="U27" s="46">
        <f>(L16*K27)/L6</f>
        <v>0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0</v>
      </c>
      <c r="AA27" s="17"/>
      <c r="AB27" s="17"/>
      <c r="AC27" s="17"/>
    </row>
    <row r="28" spans="1:29" ht="40" customHeight="1" x14ac:dyDescent="0.15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42</v>
      </c>
      <c r="C36" s="25">
        <f t="shared" si="6"/>
        <v>6.3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275.8</v>
      </c>
      <c r="M36" s="25">
        <f t="shared" si="7"/>
        <v>7</v>
      </c>
      <c r="N36" s="25">
        <f t="shared" si="7"/>
        <v>56</v>
      </c>
      <c r="O36" s="25">
        <f t="shared" si="7"/>
        <v>10.85</v>
      </c>
      <c r="P36" s="25">
        <f t="shared" si="7"/>
        <v>2.38</v>
      </c>
      <c r="Q36" s="25">
        <f t="shared" si="7"/>
        <v>184.8</v>
      </c>
      <c r="R36" s="25">
        <f t="shared" si="7"/>
        <v>168</v>
      </c>
      <c r="S36" s="25">
        <f t="shared" si="7"/>
        <v>0</v>
      </c>
      <c r="T36" s="46">
        <f t="shared" si="7"/>
        <v>3.85</v>
      </c>
      <c r="U36" s="46">
        <f t="shared" si="7"/>
        <v>0.56000000000000005</v>
      </c>
      <c r="V36" s="25">
        <f t="shared" si="7"/>
        <v>0</v>
      </c>
      <c r="W36" s="25">
        <f t="shared" si="7"/>
        <v>1.47</v>
      </c>
      <c r="X36" s="47">
        <f t="shared" si="7"/>
        <v>0</v>
      </c>
      <c r="Y36" s="25">
        <f t="shared" si="7"/>
        <v>0</v>
      </c>
      <c r="Z36" s="25">
        <f t="shared" si="7"/>
        <v>0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81701-8887-4986-A5EC-F61CF39A4F74}">
  <sheetPr codeName="Sheet53"/>
  <dimension ref="A1:AC1009"/>
  <sheetViews>
    <sheetView zoomScale="60" zoomScaleNormal="60" workbookViewId="0">
      <selection activeCell="M12" sqref="M12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146" t="s">
        <v>0</v>
      </c>
      <c r="B1" s="146"/>
      <c r="C1" s="147" t="s">
        <v>77</v>
      </c>
      <c r="D1" s="147"/>
      <c r="E1" s="147"/>
      <c r="F1" s="147"/>
      <c r="G1" s="147"/>
      <c r="H1" s="147"/>
      <c r="I1" s="17"/>
      <c r="J1" s="146" t="s">
        <v>70</v>
      </c>
      <c r="K1" s="146"/>
      <c r="L1" s="147" t="s">
        <v>73</v>
      </c>
      <c r="M1" s="147"/>
      <c r="N1" s="147"/>
      <c r="O1" s="147"/>
      <c r="P1" s="147"/>
      <c r="Q1" s="147"/>
      <c r="R1" s="147"/>
      <c r="S1" s="147"/>
      <c r="T1" s="147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90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193</v>
      </c>
      <c r="L5" s="21" t="s">
        <v>5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15">
      <c r="A6" s="23" t="s">
        <v>14</v>
      </c>
      <c r="B6" s="23" t="s">
        <v>74</v>
      </c>
      <c r="C6" s="23" t="s">
        <v>127</v>
      </c>
      <c r="D6" s="23" t="s">
        <v>129</v>
      </c>
      <c r="E6" s="23" t="s">
        <v>132</v>
      </c>
      <c r="F6" s="23" t="s">
        <v>134</v>
      </c>
      <c r="G6" s="23" t="s">
        <v>137</v>
      </c>
      <c r="H6" s="23" t="s">
        <v>139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Marie Biscuit (grams)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447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Ingredient2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1.4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73.7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19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2.5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331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1.1000000000000001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128</v>
      </c>
      <c r="C25" s="23" t="s">
        <v>130</v>
      </c>
      <c r="D25" s="23" t="s">
        <v>133</v>
      </c>
      <c r="E25" s="23" t="s">
        <v>135</v>
      </c>
      <c r="F25" s="23" t="s">
        <v>138</v>
      </c>
      <c r="G25" s="41" t="s">
        <v>140</v>
      </c>
      <c r="H25" s="17"/>
      <c r="I25" s="17"/>
      <c r="J25" s="42" t="s">
        <v>30</v>
      </c>
      <c r="K25" s="36"/>
      <c r="L25" s="37" t="s">
        <v>191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Marie Biscuit (grams)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Marie Biscuit (grams)</v>
      </c>
      <c r="K26" s="25">
        <v>35</v>
      </c>
      <c r="L26" s="25">
        <f>(K7*K26)/K6</f>
        <v>156.44999999999999</v>
      </c>
      <c r="M26" s="25">
        <f>(K8*K26)/K6</f>
        <v>0.49</v>
      </c>
      <c r="N26" s="25">
        <f>(K9*K26)/K6</f>
        <v>25.795000000000002</v>
      </c>
      <c r="O26" s="25">
        <f>(K10*K26)/K6</f>
        <v>6.65</v>
      </c>
      <c r="P26" s="25">
        <f>(K11*K26)/K6</f>
        <v>0.875</v>
      </c>
      <c r="Q26" s="25">
        <f>(K12*K26)/K6</f>
        <v>115.85</v>
      </c>
      <c r="R26" s="25">
        <f>(K13*K26)/K6</f>
        <v>0</v>
      </c>
      <c r="S26" s="25">
        <f>(K14*K26)/K6</f>
        <v>0</v>
      </c>
      <c r="T26" s="46">
        <f>(K15*K26)/K6</f>
        <v>0</v>
      </c>
      <c r="U26" s="46">
        <f>(K16*K26)/K6</f>
        <v>0.38500000000000001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15">
      <c r="A27" s="26" t="str">
        <f>L5</f>
        <v>Ingredient2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Ingredient2</v>
      </c>
      <c r="K27" s="25">
        <v>0</v>
      </c>
      <c r="L27" s="25">
        <f>(L7*K27)/L6</f>
        <v>0</v>
      </c>
      <c r="M27" s="25">
        <f>(L8*K27)/L6</f>
        <v>0</v>
      </c>
      <c r="N27" s="25">
        <f>(L9*K27)/L6</f>
        <v>0</v>
      </c>
      <c r="O27" s="25">
        <f>(L10*K27)/L6</f>
        <v>0</v>
      </c>
      <c r="P27" s="25">
        <f>(L11*K27)/L6</f>
        <v>0</v>
      </c>
      <c r="Q27" s="25">
        <f>(L12*K27)/L6</f>
        <v>0</v>
      </c>
      <c r="R27" s="25">
        <f>(L13*K27)/L6</f>
        <v>0</v>
      </c>
      <c r="S27" s="25">
        <f>(L14*K27)/L6</f>
        <v>0</v>
      </c>
      <c r="T27" s="46">
        <f>(L15*K27)/L6</f>
        <v>0</v>
      </c>
      <c r="U27" s="46">
        <f>(L16*K27)/L6</f>
        <v>0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0</v>
      </c>
      <c r="AA27" s="17"/>
      <c r="AB27" s="17"/>
      <c r="AC27" s="17"/>
    </row>
    <row r="28" spans="1:29" ht="40" customHeight="1" x14ac:dyDescent="0.15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156.44999999999999</v>
      </c>
      <c r="M36" s="25">
        <f t="shared" si="7"/>
        <v>0.49</v>
      </c>
      <c r="N36" s="25">
        <f t="shared" si="7"/>
        <v>25.795000000000002</v>
      </c>
      <c r="O36" s="25">
        <f t="shared" si="7"/>
        <v>6.65</v>
      </c>
      <c r="P36" s="25">
        <f t="shared" si="7"/>
        <v>0.875</v>
      </c>
      <c r="Q36" s="25">
        <f t="shared" si="7"/>
        <v>115.85</v>
      </c>
      <c r="R36" s="25">
        <f t="shared" si="7"/>
        <v>0</v>
      </c>
      <c r="S36" s="25">
        <f t="shared" si="7"/>
        <v>0</v>
      </c>
      <c r="T36" s="46">
        <f t="shared" si="7"/>
        <v>0</v>
      </c>
      <c r="U36" s="46">
        <f t="shared" si="7"/>
        <v>0.38500000000000001</v>
      </c>
      <c r="V36" s="25">
        <f t="shared" si="7"/>
        <v>0</v>
      </c>
      <c r="W36" s="25">
        <f t="shared" si="7"/>
        <v>0</v>
      </c>
      <c r="X36" s="47">
        <f t="shared" si="7"/>
        <v>0</v>
      </c>
      <c r="Y36" s="25">
        <f t="shared" si="7"/>
        <v>0</v>
      </c>
      <c r="Z36" s="25">
        <f t="shared" si="7"/>
        <v>0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AC08D-5861-4B88-B8BF-A785B02B5FD9}">
  <sheetPr codeName="Sheet66"/>
  <dimension ref="A1:AC1009"/>
  <sheetViews>
    <sheetView zoomScale="60" zoomScaleNormal="60" workbookViewId="0">
      <selection activeCell="I12" sqref="I12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25" width="20.6640625" style="11"/>
    <col min="26" max="26" width="20.6640625" style="11" customWidth="1"/>
    <col min="27" max="16384" width="20.6640625" style="11"/>
  </cols>
  <sheetData>
    <row r="1" spans="1:29" ht="40" customHeight="1" x14ac:dyDescent="0.15">
      <c r="A1" s="88" t="s">
        <v>0</v>
      </c>
      <c r="B1" s="88"/>
      <c r="C1" s="91" t="s">
        <v>43</v>
      </c>
      <c r="D1" s="91"/>
      <c r="E1" s="91"/>
      <c r="F1" s="91"/>
      <c r="G1" s="91"/>
      <c r="H1" s="91"/>
      <c r="I1" s="51"/>
      <c r="J1" s="88" t="s">
        <v>70</v>
      </c>
      <c r="K1" s="88"/>
      <c r="L1" s="91" t="s">
        <v>73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90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194</v>
      </c>
      <c r="L5" s="21" t="s">
        <v>195</v>
      </c>
      <c r="M5" s="21" t="s">
        <v>196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15">
      <c r="A6" s="23" t="s">
        <v>14</v>
      </c>
      <c r="B6" s="23" t="s">
        <v>74</v>
      </c>
      <c r="C6" s="23" t="s">
        <v>127</v>
      </c>
      <c r="D6" s="23" t="s">
        <v>129</v>
      </c>
      <c r="E6" s="23" t="s">
        <v>132</v>
      </c>
      <c r="F6" s="23" t="s">
        <v>134</v>
      </c>
      <c r="G6" s="23" t="s">
        <v>137</v>
      </c>
      <c r="H6" s="23" t="s">
        <v>139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Chicken Chops (grams)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98</v>
      </c>
      <c r="L7" s="25">
        <v>13</v>
      </c>
      <c r="M7" s="25">
        <v>116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Choy sum Vegetable (grams)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22.5</v>
      </c>
      <c r="L8" s="25">
        <v>2.1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Rice (grams)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0</v>
      </c>
      <c r="L9" s="25">
        <v>0.17</v>
      </c>
      <c r="M9" s="25">
        <v>25.9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0</v>
      </c>
      <c r="L10" s="25">
        <v>0.39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0.8</v>
      </c>
      <c r="L11" s="25">
        <v>0.4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48</v>
      </c>
      <c r="L12" s="25">
        <v>21</v>
      </c>
      <c r="M12" s="25">
        <v>2.5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4</v>
      </c>
      <c r="L13" s="25">
        <v>84</v>
      </c>
      <c r="M13" s="25">
        <v>7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68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1.6</v>
      </c>
      <c r="M15" s="28">
        <v>0.3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0.25</v>
      </c>
      <c r="L16" s="28">
        <v>4.2000000000000003E-2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3.7799999999999999E-3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0.26</v>
      </c>
      <c r="L18" s="28">
        <v>0</v>
      </c>
      <c r="M18" s="28">
        <v>1.3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0.52</v>
      </c>
      <c r="L19" s="28">
        <v>0</v>
      </c>
      <c r="M19" s="28">
        <v>0.92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31</v>
      </c>
      <c r="L20" s="25">
        <v>0</v>
      </c>
      <c r="M20" s="25">
        <v>15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390</v>
      </c>
      <c r="L21" s="25">
        <v>230</v>
      </c>
      <c r="M21" s="25">
        <v>30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128</v>
      </c>
      <c r="C25" s="23" t="s">
        <v>130</v>
      </c>
      <c r="D25" s="23" t="s">
        <v>133</v>
      </c>
      <c r="E25" s="23" t="s">
        <v>135</v>
      </c>
      <c r="F25" s="23" t="s">
        <v>138</v>
      </c>
      <c r="G25" s="41" t="s">
        <v>140</v>
      </c>
      <c r="H25" s="17"/>
      <c r="I25" s="17"/>
      <c r="J25" s="42" t="s">
        <v>30</v>
      </c>
      <c r="K25" s="36"/>
      <c r="L25" s="37" t="s">
        <v>191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Chicken Chops (grams)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Chicken Chops (grams)</v>
      </c>
      <c r="K26" s="25">
        <v>110</v>
      </c>
      <c r="L26" s="25">
        <f>(K7*K26)/K6</f>
        <v>107.8</v>
      </c>
      <c r="M26" s="25">
        <f>(K8*K26)/K6</f>
        <v>24.75</v>
      </c>
      <c r="N26" s="25">
        <f>(K9*K26)/K6</f>
        <v>0</v>
      </c>
      <c r="O26" s="25">
        <f>(K10*K26)/K6</f>
        <v>0</v>
      </c>
      <c r="P26" s="25">
        <f>(K11*K26)/K6</f>
        <v>0.88</v>
      </c>
      <c r="Q26" s="25">
        <f>(K12*K26)/K6</f>
        <v>52.8</v>
      </c>
      <c r="R26" s="25">
        <f>(K13*K26)/K6</f>
        <v>4.4000000000000004</v>
      </c>
      <c r="S26" s="25">
        <f>(K14*K26)/K6</f>
        <v>74.8</v>
      </c>
      <c r="T26" s="46">
        <f>(K15*K26)/K6</f>
        <v>0</v>
      </c>
      <c r="U26" s="46">
        <f>(K16*K26)/K6</f>
        <v>0.27500000000000002</v>
      </c>
      <c r="V26" s="25">
        <f>(K17*K26)/K6</f>
        <v>4.1580000000000002E-3</v>
      </c>
      <c r="W26" s="25">
        <f>(K18*K26)/K6</f>
        <v>0.28600000000000003</v>
      </c>
      <c r="X26" s="47">
        <f>(K19*K26)/K6</f>
        <v>0.57200000000000006</v>
      </c>
      <c r="Y26" s="25">
        <f>(K20*K26)/K6</f>
        <v>34.1</v>
      </c>
      <c r="Z26" s="25">
        <f>(K21*K26)/K6</f>
        <v>429</v>
      </c>
      <c r="AA26" s="17"/>
      <c r="AB26" s="17"/>
      <c r="AC26" s="17"/>
    </row>
    <row r="27" spans="1:29" ht="40" customHeight="1" x14ac:dyDescent="0.15">
      <c r="A27" s="26" t="str">
        <f>L5</f>
        <v>Choy sum Vegetable (grams)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Choy sum Vegetable (grams)</v>
      </c>
      <c r="K27" s="25">
        <v>110</v>
      </c>
      <c r="L27" s="25">
        <f>(L7*K27)/L6</f>
        <v>14.3</v>
      </c>
      <c r="M27" s="25">
        <f>(L8*K27)/L6</f>
        <v>2.31</v>
      </c>
      <c r="N27" s="25">
        <f>(L9*K27)/L6</f>
        <v>0.18700000000000003</v>
      </c>
      <c r="O27" s="25">
        <f>(L10*K27)/L6</f>
        <v>0.42899999999999999</v>
      </c>
      <c r="P27" s="25">
        <f>(L11*K27)/L6</f>
        <v>0.44</v>
      </c>
      <c r="Q27" s="25">
        <f>(L12*K27)/L6</f>
        <v>23.1</v>
      </c>
      <c r="R27" s="25">
        <f>(L13*K27)/L6</f>
        <v>92.4</v>
      </c>
      <c r="S27" s="25">
        <f>(L14*K27)/L6</f>
        <v>0</v>
      </c>
      <c r="T27" s="46">
        <f>(L15*K27)/L6</f>
        <v>1.76</v>
      </c>
      <c r="U27" s="46">
        <f>(L16*K27)/L6</f>
        <v>4.6199999999999998E-2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253</v>
      </c>
      <c r="AA27" s="17"/>
      <c r="AB27" s="17"/>
      <c r="AC27" s="17"/>
    </row>
    <row r="28" spans="1:29" ht="40" customHeight="1" x14ac:dyDescent="0.15">
      <c r="A28" s="26" t="str">
        <f>M5</f>
        <v>Rice (grams)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Rice (grams)</v>
      </c>
      <c r="K28" s="25">
        <v>320</v>
      </c>
      <c r="L28" s="25">
        <f>(M7*K28)/M6</f>
        <v>371.2</v>
      </c>
      <c r="M28" s="25">
        <f>(M8*K28)/M6</f>
        <v>0</v>
      </c>
      <c r="N28" s="25">
        <f>(M9*K28)/M6</f>
        <v>82.88</v>
      </c>
      <c r="O28" s="25">
        <f>(M10*K28)/M6</f>
        <v>0</v>
      </c>
      <c r="P28" s="25">
        <f>(M11*K28)/M6</f>
        <v>0</v>
      </c>
      <c r="Q28" s="25">
        <f>(M12*K28)/M6</f>
        <v>8</v>
      </c>
      <c r="R28" s="25">
        <f>(M13*K28)/M6</f>
        <v>22.4</v>
      </c>
      <c r="S28" s="25">
        <f>(M14*K28)/M6</f>
        <v>0</v>
      </c>
      <c r="T28" s="46">
        <f>(M15*K28)/M6</f>
        <v>0.96</v>
      </c>
      <c r="U28" s="46">
        <f>(M16*K28)/M6</f>
        <v>0</v>
      </c>
      <c r="V28" s="25">
        <f>(M17*K28)/M6</f>
        <v>0</v>
      </c>
      <c r="W28" s="25">
        <f>(M18*K28)/M6</f>
        <v>4.16</v>
      </c>
      <c r="X28" s="47">
        <f>(M19*K28)/M6</f>
        <v>2.9440000000000004</v>
      </c>
      <c r="Y28" s="25">
        <f>(M20*K28)/M6</f>
        <v>48</v>
      </c>
      <c r="Z28" s="25">
        <f>(M21*K28)/M6</f>
        <v>96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493.29999999999995</v>
      </c>
      <c r="M36" s="25">
        <f t="shared" si="7"/>
        <v>27.06</v>
      </c>
      <c r="N36" s="25">
        <f t="shared" si="7"/>
        <v>83.066999999999993</v>
      </c>
      <c r="O36" s="25">
        <f t="shared" si="7"/>
        <v>0.42899999999999999</v>
      </c>
      <c r="P36" s="25">
        <f t="shared" si="7"/>
        <v>1.32</v>
      </c>
      <c r="Q36" s="25">
        <f t="shared" si="7"/>
        <v>83.9</v>
      </c>
      <c r="R36" s="25">
        <f t="shared" si="7"/>
        <v>119.20000000000002</v>
      </c>
      <c r="S36" s="25">
        <f t="shared" si="7"/>
        <v>74.8</v>
      </c>
      <c r="T36" s="46">
        <f t="shared" si="7"/>
        <v>2.7199999999999998</v>
      </c>
      <c r="U36" s="46">
        <f t="shared" si="7"/>
        <v>0.32120000000000004</v>
      </c>
      <c r="V36" s="25">
        <f t="shared" si="7"/>
        <v>4.1580000000000002E-3</v>
      </c>
      <c r="W36" s="25">
        <f t="shared" si="7"/>
        <v>4.4459999999999997</v>
      </c>
      <c r="X36" s="47">
        <f t="shared" si="7"/>
        <v>3.5160000000000005</v>
      </c>
      <c r="Y36" s="25">
        <f t="shared" si="7"/>
        <v>82.1</v>
      </c>
      <c r="Z36" s="25">
        <f t="shared" si="7"/>
        <v>778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1A679-E6B7-4226-84EF-699FF188B17F}">
  <sheetPr codeName="Sheet67"/>
  <dimension ref="A1:AC1009"/>
  <sheetViews>
    <sheetView zoomScale="60" zoomScaleNormal="60" workbookViewId="0">
      <selection activeCell="L11" sqref="L11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88" t="s">
        <v>0</v>
      </c>
      <c r="B1" s="88"/>
      <c r="C1" s="91" t="s">
        <v>82</v>
      </c>
      <c r="D1" s="91"/>
      <c r="E1" s="91"/>
      <c r="F1" s="91"/>
      <c r="G1" s="91"/>
      <c r="H1" s="91"/>
      <c r="I1" s="51"/>
      <c r="J1" s="88" t="s">
        <v>70</v>
      </c>
      <c r="K1" s="88"/>
      <c r="L1" s="91" t="s">
        <v>73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90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193</v>
      </c>
      <c r="L5" s="21" t="s">
        <v>197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15">
      <c r="A6" s="23" t="s">
        <v>14</v>
      </c>
      <c r="B6" s="23" t="s">
        <v>74</v>
      </c>
      <c r="C6" s="23" t="s">
        <v>127</v>
      </c>
      <c r="D6" s="23" t="s">
        <v>129</v>
      </c>
      <c r="E6" s="23" t="s">
        <v>132</v>
      </c>
      <c r="F6" s="23" t="s">
        <v>134</v>
      </c>
      <c r="G6" s="23" t="s">
        <v>137</v>
      </c>
      <c r="H6" s="23" t="s">
        <v>139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Marie Biscuit (grams)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447</v>
      </c>
      <c r="L7" s="25">
        <v>54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Apple (grams)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1.4</v>
      </c>
      <c r="L8" s="25">
        <v>0.2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73.7</v>
      </c>
      <c r="L9" s="25">
        <v>13.5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19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2.5</v>
      </c>
      <c r="L11" s="25">
        <v>0.2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331</v>
      </c>
      <c r="L12" s="25">
        <v>1.6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0</v>
      </c>
      <c r="L13" s="25">
        <v>4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1.2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1.1000000000000001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0.6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0.19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75</v>
      </c>
      <c r="K20" s="25">
        <v>0</v>
      </c>
      <c r="L20" s="25">
        <v>4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119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128</v>
      </c>
      <c r="C25" s="23" t="s">
        <v>130</v>
      </c>
      <c r="D25" s="23" t="s">
        <v>133</v>
      </c>
      <c r="E25" s="23" t="s">
        <v>135</v>
      </c>
      <c r="F25" s="23" t="s">
        <v>138</v>
      </c>
      <c r="G25" s="41" t="s">
        <v>140</v>
      </c>
      <c r="H25" s="17"/>
      <c r="I25" s="17"/>
      <c r="J25" s="42" t="s">
        <v>30</v>
      </c>
      <c r="K25" s="36"/>
      <c r="L25" s="37" t="s">
        <v>191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Marie Biscuit (grams)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Marie Biscuit (grams)</v>
      </c>
      <c r="K26" s="25">
        <v>40</v>
      </c>
      <c r="L26" s="25">
        <f>(K7*K26)/K6</f>
        <v>178.8</v>
      </c>
      <c r="M26" s="25">
        <f>(K8*K26)/K6</f>
        <v>0.56000000000000005</v>
      </c>
      <c r="N26" s="25">
        <f>(K9*K26)/K6</f>
        <v>29.48</v>
      </c>
      <c r="O26" s="25">
        <f>(K10*K26)/K6</f>
        <v>7.6</v>
      </c>
      <c r="P26" s="25">
        <f>(K11*K26)/K6</f>
        <v>1</v>
      </c>
      <c r="Q26" s="25">
        <f>(K12*K26)/K6</f>
        <v>132.4</v>
      </c>
      <c r="R26" s="25">
        <f>(K13*K26)/K6</f>
        <v>0</v>
      </c>
      <c r="S26" s="25">
        <f>(K14*K26)/K6</f>
        <v>0</v>
      </c>
      <c r="T26" s="46">
        <f>(K15*K26)/K6</f>
        <v>0</v>
      </c>
      <c r="U26" s="46">
        <f>(K16*K26)/K6</f>
        <v>0.44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15">
      <c r="A27" s="26" t="str">
        <f>L5</f>
        <v>Apple (grams)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Apple (grams)</v>
      </c>
      <c r="K27" s="25">
        <v>112</v>
      </c>
      <c r="L27" s="25">
        <f>(L7*K27)/L6</f>
        <v>60.48</v>
      </c>
      <c r="M27" s="25">
        <f>(L8*K27)/L6</f>
        <v>0.22400000000000003</v>
      </c>
      <c r="N27" s="25">
        <f>(L9*K27)/L6</f>
        <v>15.12</v>
      </c>
      <c r="O27" s="25">
        <f>(L10*K27)/L6</f>
        <v>0</v>
      </c>
      <c r="P27" s="25">
        <f>(L11*K27)/L6</f>
        <v>0.22400000000000003</v>
      </c>
      <c r="Q27" s="25">
        <f>(L12*K27)/L6</f>
        <v>1.7920000000000003</v>
      </c>
      <c r="R27" s="25">
        <f>(L13*K27)/L6</f>
        <v>4.4800000000000004</v>
      </c>
      <c r="S27" s="25">
        <f>(L14*K27)/L6</f>
        <v>0</v>
      </c>
      <c r="T27" s="46">
        <f>(L15*K27)/L6</f>
        <v>1.3440000000000001</v>
      </c>
      <c r="U27" s="46">
        <f>(L16*K27)/L6</f>
        <v>0</v>
      </c>
      <c r="V27" s="25">
        <f>(L17*K27)/L6</f>
        <v>0</v>
      </c>
      <c r="W27" s="25">
        <f>(L18*K27)/L6</f>
        <v>0.67200000000000004</v>
      </c>
      <c r="X27" s="47">
        <f>(L19*K27)/L6</f>
        <v>0.21280000000000002</v>
      </c>
      <c r="Y27" s="25">
        <f>(L20*K27)/L6</f>
        <v>4.4800000000000004</v>
      </c>
      <c r="Z27" s="25">
        <f>(L21*K27)/L6</f>
        <v>133.28</v>
      </c>
      <c r="AA27" s="17"/>
      <c r="AB27" s="17"/>
      <c r="AC27" s="17"/>
    </row>
    <row r="28" spans="1:29" ht="40" customHeight="1" x14ac:dyDescent="0.15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239.28</v>
      </c>
      <c r="M36" s="25">
        <f t="shared" si="7"/>
        <v>0.78400000000000003</v>
      </c>
      <c r="N36" s="25">
        <f t="shared" si="7"/>
        <v>44.6</v>
      </c>
      <c r="O36" s="25">
        <f t="shared" si="7"/>
        <v>7.6</v>
      </c>
      <c r="P36" s="25">
        <f t="shared" si="7"/>
        <v>1.224</v>
      </c>
      <c r="Q36" s="25">
        <f t="shared" si="7"/>
        <v>134.19200000000001</v>
      </c>
      <c r="R36" s="25">
        <f t="shared" si="7"/>
        <v>4.4800000000000004</v>
      </c>
      <c r="S36" s="25">
        <f t="shared" si="7"/>
        <v>0</v>
      </c>
      <c r="T36" s="46">
        <f t="shared" si="7"/>
        <v>1.3440000000000001</v>
      </c>
      <c r="U36" s="46">
        <f t="shared" si="7"/>
        <v>0.44</v>
      </c>
      <c r="V36" s="25">
        <f t="shared" si="7"/>
        <v>0</v>
      </c>
      <c r="W36" s="25">
        <f t="shared" si="7"/>
        <v>0.67200000000000004</v>
      </c>
      <c r="X36" s="47">
        <f t="shared" si="7"/>
        <v>0.21280000000000002</v>
      </c>
      <c r="Y36" s="25">
        <f t="shared" si="7"/>
        <v>4.4800000000000004</v>
      </c>
      <c r="Z36" s="25">
        <f t="shared" si="7"/>
        <v>133.28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8C0D5-D958-43E8-B821-4794E4B3A970}">
  <sheetPr codeName="Sheet68"/>
  <dimension ref="A1:AC1009"/>
  <sheetViews>
    <sheetView zoomScale="60" zoomScaleNormal="60" workbookViewId="0">
      <selection activeCell="P17" sqref="P17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88" t="s">
        <v>0</v>
      </c>
      <c r="B1" s="88"/>
      <c r="C1" s="91" t="s">
        <v>84</v>
      </c>
      <c r="D1" s="91"/>
      <c r="E1" s="91"/>
      <c r="F1" s="91"/>
      <c r="G1" s="91"/>
      <c r="H1" s="91"/>
      <c r="I1" s="51"/>
      <c r="J1" s="88" t="s">
        <v>70</v>
      </c>
      <c r="K1" s="88"/>
      <c r="L1" s="91" t="s">
        <v>73</v>
      </c>
      <c r="M1" s="91"/>
      <c r="N1" s="91"/>
      <c r="O1" s="91"/>
      <c r="P1" s="91"/>
      <c r="Q1" s="91"/>
      <c r="R1" s="91"/>
      <c r="S1" s="91"/>
      <c r="T1" s="91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90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194</v>
      </c>
      <c r="L5" s="21" t="s">
        <v>195</v>
      </c>
      <c r="M5" s="21" t="s">
        <v>196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80" customHeight="1" x14ac:dyDescent="0.15">
      <c r="A6" s="23" t="s">
        <v>14</v>
      </c>
      <c r="B6" s="23" t="s">
        <v>74</v>
      </c>
      <c r="C6" s="23" t="s">
        <v>127</v>
      </c>
      <c r="D6" s="23" t="s">
        <v>129</v>
      </c>
      <c r="E6" s="23" t="s">
        <v>132</v>
      </c>
      <c r="F6" s="23" t="s">
        <v>134</v>
      </c>
      <c r="G6" s="23" t="s">
        <v>137</v>
      </c>
      <c r="H6" s="23" t="s">
        <v>139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Chicken Chops (grams)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98</v>
      </c>
      <c r="L7" s="25">
        <v>13</v>
      </c>
      <c r="M7" s="25">
        <v>116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Choy sum Vegetable (grams)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22.5</v>
      </c>
      <c r="L8" s="25">
        <v>2.1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Rice (grams)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0</v>
      </c>
      <c r="L9" s="25">
        <v>0.17</v>
      </c>
      <c r="M9" s="25">
        <v>25.9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0</v>
      </c>
      <c r="L10" s="25">
        <v>0.39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0.8</v>
      </c>
      <c r="L11" s="25">
        <v>0.4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48</v>
      </c>
      <c r="L12" s="25">
        <v>21</v>
      </c>
      <c r="M12" s="25">
        <v>2.5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4</v>
      </c>
      <c r="L13" s="25">
        <v>84</v>
      </c>
      <c r="M13" s="25">
        <v>7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68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1.6</v>
      </c>
      <c r="M15" s="28">
        <v>0.3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0.25</v>
      </c>
      <c r="L16" s="28">
        <v>4.2000000000000003E-2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3.7799999999999999E-3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0.26</v>
      </c>
      <c r="L18" s="28">
        <v>0</v>
      </c>
      <c r="M18" s="28">
        <v>1.3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0.52</v>
      </c>
      <c r="L19" s="28">
        <v>0</v>
      </c>
      <c r="M19" s="28">
        <v>0.92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31</v>
      </c>
      <c r="L20" s="25">
        <v>0</v>
      </c>
      <c r="M20" s="25">
        <v>15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390</v>
      </c>
      <c r="L21" s="25">
        <v>230</v>
      </c>
      <c r="M21" s="25">
        <v>30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128</v>
      </c>
      <c r="C25" s="23" t="s">
        <v>130</v>
      </c>
      <c r="D25" s="23" t="s">
        <v>133</v>
      </c>
      <c r="E25" s="23" t="s">
        <v>135</v>
      </c>
      <c r="F25" s="23" t="s">
        <v>138</v>
      </c>
      <c r="G25" s="41" t="s">
        <v>140</v>
      </c>
      <c r="H25" s="17"/>
      <c r="I25" s="17"/>
      <c r="J25" s="42" t="s">
        <v>30</v>
      </c>
      <c r="K25" s="36"/>
      <c r="L25" s="37" t="s">
        <v>191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Chicken Chops (grams)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Chicken Chops (grams)</v>
      </c>
      <c r="K26" s="25">
        <v>105</v>
      </c>
      <c r="L26" s="25">
        <f>(K7*K26)/K6</f>
        <v>102.9</v>
      </c>
      <c r="M26" s="25">
        <f>(K8*K26)/K6</f>
        <v>23.625</v>
      </c>
      <c r="N26" s="25">
        <f>(K9*K26)/K6</f>
        <v>0</v>
      </c>
      <c r="O26" s="25">
        <f>(K10*K26)/K6</f>
        <v>0</v>
      </c>
      <c r="P26" s="25">
        <f>(K11*K26)/K6</f>
        <v>0.84</v>
      </c>
      <c r="Q26" s="25">
        <f>(K12*K26)/K6</f>
        <v>50.4</v>
      </c>
      <c r="R26" s="25">
        <f>(K13*K26)/K6</f>
        <v>4.2</v>
      </c>
      <c r="S26" s="25">
        <f>(K14*K26)/K6</f>
        <v>71.400000000000006</v>
      </c>
      <c r="T26" s="46">
        <f>(K15*K26)/K6</f>
        <v>0</v>
      </c>
      <c r="U26" s="46">
        <f>(K16*K26)/K6</f>
        <v>0.26250000000000001</v>
      </c>
      <c r="V26" s="25">
        <f>(K17*K26)/K6</f>
        <v>3.9689999999999994E-3</v>
      </c>
      <c r="W26" s="25">
        <f>(K18*K26)/K6</f>
        <v>0.27300000000000002</v>
      </c>
      <c r="X26" s="47">
        <f>(K19*K26)/K6</f>
        <v>0.54600000000000004</v>
      </c>
      <c r="Y26" s="25">
        <f>(K20*K26)/K6</f>
        <v>32.549999999999997</v>
      </c>
      <c r="Z26" s="25">
        <f>(K21*K26)/K6</f>
        <v>409.5</v>
      </c>
      <c r="AA26" s="17"/>
      <c r="AB26" s="17"/>
      <c r="AC26" s="17"/>
    </row>
    <row r="27" spans="1:29" ht="40" customHeight="1" x14ac:dyDescent="0.15">
      <c r="A27" s="26" t="str">
        <f>L5</f>
        <v>Choy sum Vegetable (grams)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Choy sum Vegetable (grams)</v>
      </c>
      <c r="K27" s="25">
        <v>295</v>
      </c>
      <c r="L27" s="25">
        <f>(L7*K27)/L6</f>
        <v>38.35</v>
      </c>
      <c r="M27" s="25">
        <f>(L8*K27)/L6</f>
        <v>6.1950000000000003</v>
      </c>
      <c r="N27" s="25">
        <f>(L9*K27)/L6</f>
        <v>0.50150000000000006</v>
      </c>
      <c r="O27" s="25">
        <f>(L10*K27)/L6</f>
        <v>1.1505000000000001</v>
      </c>
      <c r="P27" s="25">
        <f>(L11*K27)/L6</f>
        <v>1.18</v>
      </c>
      <c r="Q27" s="25">
        <f>(L12*K27)/L6</f>
        <v>61.95</v>
      </c>
      <c r="R27" s="25">
        <f>(L13*K27)/L6</f>
        <v>247.8</v>
      </c>
      <c r="S27" s="25">
        <f>(L14*K27)/L6</f>
        <v>0</v>
      </c>
      <c r="T27" s="46">
        <f>(L15*K27)/L6</f>
        <v>4.72</v>
      </c>
      <c r="U27" s="46">
        <f>(L16*K27)/L6</f>
        <v>0.12390000000000001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678.5</v>
      </c>
      <c r="AA27" s="17"/>
      <c r="AB27" s="17"/>
      <c r="AC27" s="17"/>
    </row>
    <row r="28" spans="1:29" ht="40" customHeight="1" x14ac:dyDescent="0.15">
      <c r="A28" s="26" t="str">
        <f>M5</f>
        <v>Rice (grams)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Rice (grams)</v>
      </c>
      <c r="K28" s="25">
        <v>310</v>
      </c>
      <c r="L28" s="25">
        <f>(M7*K28)/M6</f>
        <v>359.6</v>
      </c>
      <c r="M28" s="25">
        <f>(M8*K28)/M6</f>
        <v>0</v>
      </c>
      <c r="N28" s="25">
        <f>(M9*K28)/M6</f>
        <v>80.290000000000006</v>
      </c>
      <c r="O28" s="25">
        <f>(M10*K28)/M6</f>
        <v>0</v>
      </c>
      <c r="P28" s="25">
        <f>(M11*K28)/M6</f>
        <v>0</v>
      </c>
      <c r="Q28" s="25">
        <f>(M12*K28)/M6</f>
        <v>7.75</v>
      </c>
      <c r="R28" s="25">
        <f>(M13*K28)/M6</f>
        <v>21.7</v>
      </c>
      <c r="S28" s="25">
        <f>(M14*K28)/M6</f>
        <v>0</v>
      </c>
      <c r="T28" s="46">
        <f>(M15*K28)/M6</f>
        <v>0.93</v>
      </c>
      <c r="U28" s="46">
        <f>(M16*K28)/M6</f>
        <v>0</v>
      </c>
      <c r="V28" s="25">
        <f>(M17*K28)/M6</f>
        <v>0</v>
      </c>
      <c r="W28" s="25">
        <f>(M18*K28)/M6</f>
        <v>4.03</v>
      </c>
      <c r="X28" s="47">
        <f>(M19*K28)/M6</f>
        <v>2.8519999999999999</v>
      </c>
      <c r="Y28" s="25">
        <f>(M20*K28)/M6</f>
        <v>46.5</v>
      </c>
      <c r="Z28" s="25">
        <f>(M21*K28)/M6</f>
        <v>93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500.85</v>
      </c>
      <c r="M36" s="25">
        <f t="shared" si="7"/>
        <v>29.82</v>
      </c>
      <c r="N36" s="25">
        <f t="shared" si="7"/>
        <v>80.791500000000013</v>
      </c>
      <c r="O36" s="25">
        <f t="shared" si="7"/>
        <v>1.1505000000000001</v>
      </c>
      <c r="P36" s="25">
        <f t="shared" si="7"/>
        <v>2.02</v>
      </c>
      <c r="Q36" s="25">
        <f t="shared" si="7"/>
        <v>120.1</v>
      </c>
      <c r="R36" s="25">
        <f t="shared" si="7"/>
        <v>273.7</v>
      </c>
      <c r="S36" s="25">
        <f t="shared" si="7"/>
        <v>71.400000000000006</v>
      </c>
      <c r="T36" s="46">
        <f t="shared" si="7"/>
        <v>5.6499999999999995</v>
      </c>
      <c r="U36" s="46">
        <f t="shared" si="7"/>
        <v>0.38640000000000002</v>
      </c>
      <c r="V36" s="25">
        <f t="shared" si="7"/>
        <v>3.9689999999999994E-3</v>
      </c>
      <c r="W36" s="25">
        <f t="shared" si="7"/>
        <v>4.3029999999999999</v>
      </c>
      <c r="X36" s="47">
        <f t="shared" si="7"/>
        <v>3.3979999999999997</v>
      </c>
      <c r="Y36" s="25">
        <f t="shared" si="7"/>
        <v>79.05</v>
      </c>
      <c r="Z36" s="25">
        <f t="shared" si="7"/>
        <v>1181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F4C5-CE9D-4C8F-BCCE-25350EEBD1F1}">
  <sheetPr codeName="Sheet69"/>
  <dimension ref="A1:AC1009"/>
  <sheetViews>
    <sheetView zoomScale="70" zoomScaleNormal="70" workbookViewId="0">
      <selection activeCell="M8" sqref="M8"/>
    </sheetView>
  </sheetViews>
  <sheetFormatPr baseColWidth="10" defaultColWidth="20.6640625" defaultRowHeight="40" customHeight="1" x14ac:dyDescent="0.15"/>
  <cols>
    <col min="1" max="9" width="20.6640625" style="11"/>
    <col min="10" max="10" width="30.6640625" style="11" customWidth="1"/>
    <col min="11" max="16384" width="20.6640625" style="11"/>
  </cols>
  <sheetData>
    <row r="1" spans="1:29" ht="40" customHeight="1" x14ac:dyDescent="0.15">
      <c r="A1" s="146" t="s">
        <v>0</v>
      </c>
      <c r="B1" s="146"/>
      <c r="C1" s="147" t="s">
        <v>85</v>
      </c>
      <c r="D1" s="147"/>
      <c r="E1" s="147"/>
      <c r="F1" s="147"/>
      <c r="G1" s="147"/>
      <c r="H1" s="147"/>
      <c r="I1" s="17"/>
      <c r="J1" s="146" t="s">
        <v>70</v>
      </c>
      <c r="K1" s="146"/>
      <c r="L1" s="147" t="s">
        <v>73</v>
      </c>
      <c r="M1" s="147"/>
      <c r="N1" s="147"/>
      <c r="O1" s="147"/>
      <c r="P1" s="147"/>
      <c r="Q1" s="147"/>
      <c r="R1" s="147"/>
      <c r="S1" s="147"/>
      <c r="T1" s="147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1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15">
      <c r="A3" s="18"/>
      <c r="B3" s="17"/>
      <c r="C3" s="17"/>
      <c r="D3" s="17"/>
      <c r="E3" s="17"/>
      <c r="F3" s="17"/>
      <c r="G3" s="17"/>
      <c r="H3" s="17"/>
      <c r="I3" s="17"/>
      <c r="J3" s="17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15">
      <c r="A4" s="93" t="s">
        <v>90</v>
      </c>
      <c r="B4" s="94"/>
      <c r="C4" s="94"/>
      <c r="D4" s="94"/>
      <c r="E4" s="94"/>
      <c r="F4" s="94"/>
      <c r="G4" s="94"/>
      <c r="H4" s="94"/>
      <c r="I4" s="17"/>
      <c r="J4" s="90" t="s">
        <v>2</v>
      </c>
      <c r="K4" s="90"/>
      <c r="L4" s="90"/>
      <c r="M4" s="90"/>
      <c r="N4" s="90"/>
      <c r="O4" s="90"/>
      <c r="P4" s="90"/>
      <c r="Q4" s="90"/>
      <c r="R4" s="90"/>
      <c r="S4" s="90"/>
      <c r="T4" s="90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15">
      <c r="A5" s="92" t="s">
        <v>3</v>
      </c>
      <c r="B5" s="92"/>
      <c r="C5" s="92"/>
      <c r="D5" s="92"/>
      <c r="E5" s="92"/>
      <c r="F5" s="92"/>
      <c r="G5" s="92"/>
      <c r="H5" s="92"/>
      <c r="I5" s="17"/>
      <c r="J5" s="20"/>
      <c r="K5" s="21" t="s">
        <v>198</v>
      </c>
      <c r="L5" s="21" t="s">
        <v>197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15">
      <c r="A6" s="23" t="s">
        <v>14</v>
      </c>
      <c r="B6" s="23" t="s">
        <v>74</v>
      </c>
      <c r="C6" s="23" t="s">
        <v>127</v>
      </c>
      <c r="D6" s="23" t="s">
        <v>129</v>
      </c>
      <c r="E6" s="23" t="s">
        <v>132</v>
      </c>
      <c r="F6" s="23" t="s">
        <v>134</v>
      </c>
      <c r="G6" s="23" t="s">
        <v>137</v>
      </c>
      <c r="H6" s="23" t="s">
        <v>139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15">
      <c r="A7" s="26" t="str">
        <f>K5</f>
        <v>Skimmed Milk (milligrrams)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35</v>
      </c>
      <c r="L7" s="25">
        <v>54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15">
      <c r="A8" s="26" t="str">
        <f>L5</f>
        <v>Apple (grams)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2.9</v>
      </c>
      <c r="L8" s="25">
        <v>0.2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15">
      <c r="A9" s="26" t="str">
        <f>M5</f>
        <v>Ingredient3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5.5</v>
      </c>
      <c r="L9" s="25">
        <v>13.5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15">
      <c r="A10" s="26" t="str">
        <f>N5</f>
        <v>Ingredient4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4.7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15">
      <c r="A11" s="26" t="str">
        <f>O5</f>
        <v>Ingredient5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0.1</v>
      </c>
      <c r="L11" s="25">
        <v>0.2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15">
      <c r="A12" s="26" t="str">
        <f>P5</f>
        <v>Ingredient6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38</v>
      </c>
      <c r="L12" s="25">
        <v>1.6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15">
      <c r="A13" s="26" t="str">
        <f>Q5</f>
        <v>Ingredient7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115</v>
      </c>
      <c r="L13" s="25">
        <v>4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15">
      <c r="A14" s="26" t="str">
        <f>R5</f>
        <v>Ingredient8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3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15">
      <c r="A15" s="26" t="str">
        <f>S5</f>
        <v>Ingredient9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1.2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15">
      <c r="A16" s="32" t="str">
        <f>T5</f>
        <v>Ingredient10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15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1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0.6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1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0.19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1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4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1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119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1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15">
      <c r="A23" s="86" t="s">
        <v>72</v>
      </c>
      <c r="B23" s="86"/>
      <c r="C23" s="86"/>
      <c r="D23" s="86"/>
      <c r="E23" s="86"/>
      <c r="F23" s="86"/>
      <c r="G23" s="86"/>
      <c r="H23" s="17"/>
      <c r="I23" s="17"/>
      <c r="J23" s="87" t="s">
        <v>27</v>
      </c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17"/>
      <c r="AB23" s="17"/>
      <c r="AC23" s="17"/>
    </row>
    <row r="24" spans="1:29" ht="60" customHeight="1" x14ac:dyDescent="0.2">
      <c r="A24" s="86" t="s">
        <v>3</v>
      </c>
      <c r="B24" s="86"/>
      <c r="C24" s="86"/>
      <c r="D24" s="86"/>
      <c r="E24" s="86"/>
      <c r="F24" s="86"/>
      <c r="G24" s="86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15">
      <c r="A25" s="23" t="s">
        <v>14</v>
      </c>
      <c r="B25" s="23" t="s">
        <v>128</v>
      </c>
      <c r="C25" s="23" t="s">
        <v>130</v>
      </c>
      <c r="D25" s="23" t="s">
        <v>133</v>
      </c>
      <c r="E25" s="23" t="s">
        <v>135</v>
      </c>
      <c r="F25" s="23" t="s">
        <v>138</v>
      </c>
      <c r="G25" s="41" t="s">
        <v>140</v>
      </c>
      <c r="H25" s="17"/>
      <c r="I25" s="17"/>
      <c r="J25" s="42" t="s">
        <v>30</v>
      </c>
      <c r="K25" s="36"/>
      <c r="L25" s="37" t="s">
        <v>191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15">
      <c r="A26" s="26" t="str">
        <f>K5</f>
        <v>Skimmed Milk (milligrrams)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tr">
        <f>K5</f>
        <v>Skimmed Milk (milligrrams)</v>
      </c>
      <c r="K26" s="25">
        <v>244</v>
      </c>
      <c r="L26" s="25">
        <f>(K7*K26)/K6</f>
        <v>85.4</v>
      </c>
      <c r="M26" s="25">
        <f>(K8*K26)/K6</f>
        <v>7.0760000000000005</v>
      </c>
      <c r="N26" s="25">
        <f>(K9*K26)/K6</f>
        <v>13.42</v>
      </c>
      <c r="O26" s="25">
        <f>(K10*K26)/K6</f>
        <v>11.468</v>
      </c>
      <c r="P26" s="25">
        <f>(K11*K26)/K6</f>
        <v>0.24400000000000002</v>
      </c>
      <c r="Q26" s="25">
        <f>(K12*K26)/K6</f>
        <v>92.72</v>
      </c>
      <c r="R26" s="25">
        <f>(K13*K26)/K6</f>
        <v>280.60000000000002</v>
      </c>
      <c r="S26" s="25">
        <f>(K14*K26)/K6</f>
        <v>7.32</v>
      </c>
      <c r="T26" s="46">
        <f>(K15*K26)/K6</f>
        <v>0</v>
      </c>
      <c r="U26" s="46">
        <f>(K16*K26)/K6</f>
        <v>0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15">
      <c r="A27" s="26" t="str">
        <f>L5</f>
        <v>Apple (grams)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tr">
        <f>L5</f>
        <v>Apple (grams)</v>
      </c>
      <c r="K27" s="25">
        <v>135</v>
      </c>
      <c r="L27" s="25">
        <f>(L7*K27)/L6</f>
        <v>72.900000000000006</v>
      </c>
      <c r="M27" s="25">
        <f>(L8*K27)/L6</f>
        <v>0.27</v>
      </c>
      <c r="N27" s="25">
        <f>(L9*K27)/L6</f>
        <v>18.225000000000001</v>
      </c>
      <c r="O27" s="25">
        <f>(L10*K27)/L6</f>
        <v>0</v>
      </c>
      <c r="P27" s="25">
        <f>(L11*K27)/L6</f>
        <v>0.27</v>
      </c>
      <c r="Q27" s="25">
        <f>(L12*K27)/L6</f>
        <v>2.16</v>
      </c>
      <c r="R27" s="25">
        <f>(L13*K27)/L6</f>
        <v>5.4</v>
      </c>
      <c r="S27" s="25">
        <f>(L14*K27)/L6</f>
        <v>0</v>
      </c>
      <c r="T27" s="46">
        <f>(L15*K27)/L6</f>
        <v>1.62</v>
      </c>
      <c r="U27" s="46">
        <f>(L16*K27)/L6</f>
        <v>0</v>
      </c>
      <c r="V27" s="25">
        <f>(L17*K27)/L6</f>
        <v>0</v>
      </c>
      <c r="W27" s="25">
        <f>(L18*K27)/L6</f>
        <v>0.81</v>
      </c>
      <c r="X27" s="47">
        <f>(L19*K27)/L6</f>
        <v>0.25650000000000001</v>
      </c>
      <c r="Y27" s="25">
        <f>(L20*K27)/L6</f>
        <v>5.4</v>
      </c>
      <c r="Z27" s="25">
        <f>(L21*K27)/L6</f>
        <v>160.65</v>
      </c>
      <c r="AA27" s="17"/>
      <c r="AB27" s="17"/>
      <c r="AC27" s="17"/>
    </row>
    <row r="28" spans="1:29" ht="40" customHeight="1" x14ac:dyDescent="0.15">
      <c r="A28" s="26" t="str">
        <f>M5</f>
        <v>Ingredient3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83" t="str">
        <f>M5</f>
        <v>Ingredient3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15">
      <c r="A29" s="26" t="str">
        <f>N5</f>
        <v>Ingredient4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tr">
        <f>N5</f>
        <v>Ingredient4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15">
      <c r="A30" s="26" t="str">
        <f>O5</f>
        <v>Ingredient5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tr">
        <f>O5</f>
        <v>Ingredient5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15">
      <c r="A31" s="26" t="str">
        <f>P5</f>
        <v>Ingredient6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tr">
        <f>P5</f>
        <v>Ingredient6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15">
      <c r="A32" s="26" t="str">
        <f>Q5</f>
        <v>Ingredient7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tr">
        <f>Q5</f>
        <v>Ingredient7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15">
      <c r="A33" s="26" t="str">
        <f>R5</f>
        <v>Ingredient8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tr">
        <f>R5</f>
        <v>Ingredient8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15">
      <c r="A34" s="26" t="str">
        <f>S5</f>
        <v>Ingredient9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tr">
        <f>S5</f>
        <v>Ingredient9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15">
      <c r="A35" s="32" t="str">
        <f>T5</f>
        <v>Ingredient10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tr">
        <f>T5</f>
        <v>Ingredient10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1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158.30000000000001</v>
      </c>
      <c r="M36" s="25">
        <f t="shared" si="7"/>
        <v>7.3460000000000001</v>
      </c>
      <c r="N36" s="25">
        <f t="shared" si="7"/>
        <v>31.645000000000003</v>
      </c>
      <c r="O36" s="25">
        <f t="shared" si="7"/>
        <v>11.468</v>
      </c>
      <c r="P36" s="25">
        <f t="shared" si="7"/>
        <v>0.51400000000000001</v>
      </c>
      <c r="Q36" s="25">
        <f t="shared" si="7"/>
        <v>94.88</v>
      </c>
      <c r="R36" s="25">
        <f t="shared" si="7"/>
        <v>286</v>
      </c>
      <c r="S36" s="25">
        <f t="shared" si="7"/>
        <v>7.32</v>
      </c>
      <c r="T36" s="46">
        <f t="shared" si="7"/>
        <v>1.62</v>
      </c>
      <c r="U36" s="46">
        <f t="shared" si="7"/>
        <v>0</v>
      </c>
      <c r="V36" s="25">
        <f t="shared" si="7"/>
        <v>0</v>
      </c>
      <c r="W36" s="25">
        <f t="shared" si="7"/>
        <v>0.81</v>
      </c>
      <c r="X36" s="47">
        <f t="shared" si="7"/>
        <v>0.25650000000000001</v>
      </c>
      <c r="Y36" s="25">
        <f t="shared" si="7"/>
        <v>5.4</v>
      </c>
      <c r="Z36" s="25">
        <f t="shared" si="7"/>
        <v>160.65</v>
      </c>
      <c r="AA36" s="17"/>
      <c r="AB36" s="17"/>
      <c r="AC36" s="17"/>
    </row>
    <row r="37" spans="1:29" ht="40" customHeight="1" x14ac:dyDescent="0.1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1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1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1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1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1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1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1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1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1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1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1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1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1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1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1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1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1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1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1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1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1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1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1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1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1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1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1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1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1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1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1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1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1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1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1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1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1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1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1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1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1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1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1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1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1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1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1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1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1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1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1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1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1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1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1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1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1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1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1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1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1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1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1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1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1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1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1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1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1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1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1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1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1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1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1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1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1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1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1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1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1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1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1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1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1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1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1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1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1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1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1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1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1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1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1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1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1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1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1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1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1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1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1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1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1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1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1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1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1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1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1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1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1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1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1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1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1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1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1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1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1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1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1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1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1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1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1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1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1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1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1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1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1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1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1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1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1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1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1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1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1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1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1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1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1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1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1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1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1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1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1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1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1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1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1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1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1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1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1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1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1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1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1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1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1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1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1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1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1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1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1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1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1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1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1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1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1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1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1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1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1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1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1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1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1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1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1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1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1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1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1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1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1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1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1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1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1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1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1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1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1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1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1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1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1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1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1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1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1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1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1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1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1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1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1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1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1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1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1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1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1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1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1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1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1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1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1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1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1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1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1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1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1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1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1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1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1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1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1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1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1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1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1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1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1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1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1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1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1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1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1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1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1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1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1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1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1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1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1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1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1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1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1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1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1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1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1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1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1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1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1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1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1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1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1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1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1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1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1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1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1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1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1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1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1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1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1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1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1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1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1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1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1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1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1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1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1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1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1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1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1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1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1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1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1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1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1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1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1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1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1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1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1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1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1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1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1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1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1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1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1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1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1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1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1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1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1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1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1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1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1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1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1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1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1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1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1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1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1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1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1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1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1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1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1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1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1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1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1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1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1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1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1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1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1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1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1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1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1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1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1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1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1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1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1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1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1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1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1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1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1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1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1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1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1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1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1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1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1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1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1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1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1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1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1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1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1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1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1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1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1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1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1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1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1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1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1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1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1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1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1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1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1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1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1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1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1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1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1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1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1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1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1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1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1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1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1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1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1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1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1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1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1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1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1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1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1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1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1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1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1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1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1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1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1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1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1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1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1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1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1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1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1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1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1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1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1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1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1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1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1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1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1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1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1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1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1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1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1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1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1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1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1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1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1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1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1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1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1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1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1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1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1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1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1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1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1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1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1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1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1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1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1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1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1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1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1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1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1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1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1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1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1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1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1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1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1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1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1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1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1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1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1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1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1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1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1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1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1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1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1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1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1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1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1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1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1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1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1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1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1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1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1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1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1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1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1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1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1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1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1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1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1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1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1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1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1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1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1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1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1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1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1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1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1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1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1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1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1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1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1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1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1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1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1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1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1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1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1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1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1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1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1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1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1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1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1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1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1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1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1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1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1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1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1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1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1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1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1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1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1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1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1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1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1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1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1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1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1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1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1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1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1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1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1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1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1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1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1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1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1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1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1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1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1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1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1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1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1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1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1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1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1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1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1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1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1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1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1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1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1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1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1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1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1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1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1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1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1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1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1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1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1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1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1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1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1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1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1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1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1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1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1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1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1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1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1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1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1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1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1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1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1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1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1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1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1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1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1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1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1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1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1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1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1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1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1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1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1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1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1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1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1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1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1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1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1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1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1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1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1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1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1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1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1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1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1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1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1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1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1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1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1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1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1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1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1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1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1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1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1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1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1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1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1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1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1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1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1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1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1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1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1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1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1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1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1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1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1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1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1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1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1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1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1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1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1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1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1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1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1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1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1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1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1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1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1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1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1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1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1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1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1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1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1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1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1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1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1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1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1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1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1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1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1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1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1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1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1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1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1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1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1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1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1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1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1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1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1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1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1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1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1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1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1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1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1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1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1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1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1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1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1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1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1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1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1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1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1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1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1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1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1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1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1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1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1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1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1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1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1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1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1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1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1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1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1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1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1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1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1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1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1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1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1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1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1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1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1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1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1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1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1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1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1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1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1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1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1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1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1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1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1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1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1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1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1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1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1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1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1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1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1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1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1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1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1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1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1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1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1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1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1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1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1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1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1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1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1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1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1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1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1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1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1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1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1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1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1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1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1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1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1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1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1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1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1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1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1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1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1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1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1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1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1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1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1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1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1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1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1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1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1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1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1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1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1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1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1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1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1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1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1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1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1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1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1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1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1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1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1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1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1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1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1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1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1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1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1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1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1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1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1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1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1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1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1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1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1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1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1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1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1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1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1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1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1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1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1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1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1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1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1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1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1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1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1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1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1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1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1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1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1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1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1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1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1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1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1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1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1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1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1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1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1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1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1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1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1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1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1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1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B9B1C-AE0E-4ABB-BDB5-2C6038299205}">
  <sheetPr codeName="Sheet51"/>
  <dimension ref="A1"/>
  <sheetViews>
    <sheetView zoomScaleNormal="100" workbookViewId="0">
      <pane ySplit="1" topLeftCell="A2" activePane="bottomLeft" state="frozen"/>
      <selection activeCell="G1" sqref="G1"/>
      <selection pane="bottomLeft" activeCell="O26" sqref="O26"/>
    </sheetView>
  </sheetViews>
  <sheetFormatPr baseColWidth="10" defaultColWidth="8.6640625" defaultRowHeight="35" customHeight="1" x14ac:dyDescent="0.2"/>
  <cols>
    <col min="1" max="16384" width="8.6640625" style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"/>
  <sheetViews>
    <sheetView topLeftCell="D1" zoomScale="115" zoomScaleNormal="115" workbookViewId="0">
      <pane ySplit="1" topLeftCell="A2" activePane="bottomLeft" state="frozen"/>
      <selection pane="bottomLeft" activeCell="H5" sqref="H5"/>
    </sheetView>
  </sheetViews>
  <sheetFormatPr baseColWidth="10" defaultColWidth="8.6640625" defaultRowHeight="35" customHeight="1" x14ac:dyDescent="0.2"/>
  <cols>
    <col min="1" max="16384" width="8.6640625" style="1"/>
  </cols>
  <sheetData/>
  <pageMargins left="0.7" right="0.7" top="0.75" bottom="0.75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/>
  <dimension ref="A1"/>
  <sheetViews>
    <sheetView topLeftCell="F1" zoomScale="85" zoomScaleNormal="85" workbookViewId="0">
      <pane ySplit="1" topLeftCell="A2" activePane="bottomLeft" state="frozen"/>
      <selection pane="bottomLeft" activeCell="G7" sqref="G7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7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D7" sqref="D7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8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1" sqref="A1:XFD1048576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9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1" sqref="A1:XFD1048576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0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D11" sqref="D11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1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5" sqref="C5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2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H33" sqref="H33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3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E5" sqref="E5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4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E8" sqref="E8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5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40" sqref="C40"/>
    </sheetView>
  </sheetViews>
  <sheetFormatPr baseColWidth="10" defaultColWidth="25.6640625" defaultRowHeight="18" customHeight="1" x14ac:dyDescent="0.2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Cover</vt:lpstr>
      <vt:lpstr>Ingredient Template</vt:lpstr>
      <vt:lpstr>Meal Record Template</vt:lpstr>
      <vt:lpstr>Nutrient Total Template Daily</vt:lpstr>
      <vt:lpstr>Nutrient Total Template Weekly</vt:lpstr>
      <vt:lpstr>Nutrient Total Template Monthly</vt:lpstr>
      <vt:lpstr>January Meal Record Demo</vt:lpstr>
      <vt:lpstr>Nutrient Total Daily Demo</vt:lpstr>
      <vt:lpstr>Nutrient Total Weekly Demo</vt:lpstr>
      <vt:lpstr>Nutrient Total Monthly Demo</vt:lpstr>
      <vt:lpstr>Assesment Report and Charts</vt:lpstr>
      <vt:lpstr>Breakfast Demo</vt:lpstr>
      <vt:lpstr>Morning Snack Demo</vt:lpstr>
      <vt:lpstr>Lunch Demo</vt:lpstr>
      <vt:lpstr>Afternoon Snack Demo</vt:lpstr>
      <vt:lpstr>Dinner Demo</vt:lpstr>
      <vt:lpstr>Night Snack demo</vt:lpstr>
      <vt:lpstr>January Meal Record</vt:lpstr>
      <vt:lpstr>February Meal Record</vt:lpstr>
      <vt:lpstr>March Meal Record</vt:lpstr>
      <vt:lpstr>April Meal Record</vt:lpstr>
      <vt:lpstr>May Meal Record</vt:lpstr>
      <vt:lpstr>June Meal Record</vt:lpstr>
      <vt:lpstr>July Meal Record</vt:lpstr>
      <vt:lpstr>August Meal Record</vt:lpstr>
      <vt:lpstr>September Meal Record</vt:lpstr>
      <vt:lpstr>October Meal Record</vt:lpstr>
      <vt:lpstr>November Meal Record</vt:lpstr>
      <vt:lpstr>December Meal Record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alantang</dc:creator>
  <dc:description/>
  <cp:lastModifiedBy>Sing Lun Alan Tang</cp:lastModifiedBy>
  <cp:revision>11</cp:revision>
  <dcterms:created xsi:type="dcterms:W3CDTF">2022-07-18T13:33:00Z</dcterms:created>
  <dcterms:modified xsi:type="dcterms:W3CDTF">2026-09-29T19:45:48Z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1033-3.2.0.6442</vt:lpwstr>
  </property>
</Properties>
</file>